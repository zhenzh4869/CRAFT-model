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00 read me" sheetId="39" r:id="rId1"/>
    <sheet name="tech-cost" sheetId="1" r:id="rId2"/>
    <sheet name="FS-cost" sheetId="10" r:id="rId3"/>
    <sheet name="next-cost-L" sheetId="19" r:id="rId4"/>
    <sheet name="next-cost-M" sheetId="15" r:id="rId5"/>
    <sheet name="next-cost-H" sheetId="20" r:id="rId6"/>
    <sheet name="lifetime" sheetId="2" r:id="rId7"/>
    <sheet name="OH_other" sheetId="3" r:id="rId8"/>
    <sheet name="OH_WSH" sheetId="25" r:id="rId9"/>
    <sheet name="oh_process_max" sheetId="12" r:id="rId10"/>
    <sheet name="HP" sheetId="4" r:id="rId11"/>
    <sheet name="CF" sheetId="5" r:id="rId12"/>
    <sheet name="CF_METH" sheetId="14" r:id="rId13"/>
    <sheet name="EXCAP" sheetId="6" r:id="rId14"/>
    <sheet name="POT" sheetId="11" r:id="rId15"/>
    <sheet name="H2_P&amp;C" sheetId="21" r:id="rId16"/>
    <sheet name="province_structure" sheetId="27" r:id="rId17"/>
    <sheet name="province_share" sheetId="26" r:id="rId18"/>
    <sheet name="CCS-cost_v1" sheetId="8" r:id="rId19"/>
    <sheet name="CCS_cost" sheetId="34" r:id="rId20"/>
    <sheet name="Demand" sheetId="7" r:id="rId21"/>
    <sheet name="Carbon-target" sheetId="9" r:id="rId22"/>
    <sheet name="Hydro-POT" sheetId="28" r:id="rId23"/>
    <sheet name="Bio-POT" sheetId="30" r:id="rId24"/>
    <sheet name="Industry_CO2_POT" sheetId="18" r:id="rId25"/>
    <sheet name="Metals_g KW h" sheetId="22" r:id="rId26"/>
    <sheet name="CDR-cost" sheetId="23" r:id="rId27"/>
    <sheet name="Trans_cost" sheetId="29" r:id="rId28"/>
    <sheet name="Demand_v2" sheetId="31" r:id="rId29"/>
    <sheet name="HVC_para" sheetId="32" r:id="rId30"/>
    <sheet name="HVC_CCS_ratio" sheetId="33" r:id="rId31"/>
    <sheet name="W&amp;S_POT" sheetId="40" r:id="rId32"/>
    <sheet name="energy_intensity" sheetId="35" r:id="rId33"/>
    <sheet name="fuel_para" sheetId="36" r:id="rId34"/>
    <sheet name="electricity_CF" sheetId="37" r:id="rId35"/>
    <sheet name="electricity_cost" sheetId="38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<sst xmlns="http://schemas.openxmlformats.org/spreadsheetml/2006/main" count="1537" uniqueCount="397">
  <si>
    <t>Sheet name</t>
  </si>
  <si>
    <t>Description</t>
  </si>
  <si>
    <t>tech-cost</t>
  </si>
  <si>
    <t>Annualized CAPEX and O&amp;M costs of hydrogen production technologies</t>
  </si>
  <si>
    <t>FS-cost</t>
  </si>
  <si>
    <t>Annualized feedstock (FS) costs of hydrogen production technologies</t>
  </si>
  <si>
    <t>next-cost-L/M/H</t>
  </si>
  <si>
    <t>Synthesis costs of ammonia and methanol; methanol synthesis costs are further disaggregated into conventional CO-based routes, industrial CO₂-based routes, and DAC-derived CO₂ routes</t>
  </si>
  <si>
    <t>lifetime</t>
  </si>
  <si>
    <t>Technology lifetime</t>
  </si>
  <si>
    <t>OH_other</t>
  </si>
  <si>
    <t>National-average annual full-load hours of technologies</t>
  </si>
  <si>
    <t>OH_WSH</t>
  </si>
  <si>
    <t>Provincial annual utilization hours of hydropower, wind power, and solar PV</t>
  </si>
  <si>
    <t>oh_process_max</t>
  </si>
  <si>
    <t>Maximum annual operating hours of each process</t>
  </si>
  <si>
    <t>HP</t>
  </si>
  <si>
    <t>Efficiency of hydrogen production technologies</t>
  </si>
  <si>
    <t>CF</t>
  </si>
  <si>
    <t>Carbon emission factors of hydrogen production technologies</t>
  </si>
  <si>
    <t>CF_METH</t>
  </si>
  <si>
    <t>Carbon emission factor of methanol; as it includes downstream use-phase emissions, it is excluded from the hydrogen production emission accounting framework</t>
  </si>
  <si>
    <t>EXCAP</t>
  </si>
  <si>
    <t>Capacity trajectory of existing facilities in operation</t>
  </si>
  <si>
    <t>POT</t>
  </si>
  <si>
    <t>Technology potential</t>
  </si>
  <si>
    <t>H2_P&amp;C</t>
  </si>
  <si>
    <r>
      <t xml:space="preserve">Structure of hydrogen production and consumption, derived from calculations in the </t>
    </r>
    <r>
      <rPr>
        <i/>
        <sz val="11"/>
        <color theme="1"/>
        <rFont val="Times New Roman"/>
        <charset val="134"/>
      </rPr>
      <t>province_structure</t>
    </r>
    <r>
      <rPr>
        <sz val="11"/>
        <color theme="1"/>
        <rFont val="Times New Roman"/>
        <charset val="134"/>
      </rPr>
      <t xml:space="preserve"> sheet</t>
    </r>
  </si>
  <si>
    <t>province_structure</t>
  </si>
  <si>
    <t>Provincial product capacities by process, aggregated from plant-level data</t>
  </si>
  <si>
    <t>province_share</t>
  </si>
  <si>
    <t>Provincial demand structure of different products, expressed in percentages and aggregated from plant-level data</t>
  </si>
  <si>
    <t>CCS_cost</t>
  </si>
  <si>
    <t>Provincial CCS costs</t>
  </si>
  <si>
    <t>Demand</t>
  </si>
  <si>
    <t>National chemical product demand under different scenarios (deprecated)</t>
  </si>
  <si>
    <t>Carbon-target</t>
  </si>
  <si>
    <t>Carbon emission constraints under different scenarios, including energy-related emissions, non-energy emissions, and final disposal emissions</t>
  </si>
  <si>
    <t>Hydro-POT</t>
  </si>
  <si>
    <t>Provincial distribution of nuclear power in 2020; hydropower potential in 2020 (total potential minus already-installed capacity)</t>
  </si>
  <si>
    <t>Bio-POT</t>
  </si>
  <si>
    <t>Biomass potential under the BAU scenario (dominated by agricultural and forestry residues) and biomass potential from energy crops cultivated on abandoned land</t>
  </si>
  <si>
    <t>Industry_CO2_POT</t>
  </si>
  <si>
    <t>Potential of industrial CO₂ emissions for methanol synthesis (deprecated)</t>
  </si>
  <si>
    <t>Metals</t>
  </si>
  <si>
    <t>Critical metal intensity requirements of each technology</t>
  </si>
  <si>
    <t>CDR-cost</t>
  </si>
  <si>
    <t>DACCS costs under different cost levels</t>
  </si>
  <si>
    <t>Trans_cost</t>
  </si>
  <si>
    <t>Transportation costs under different distances</t>
  </si>
  <si>
    <t>Demand_v2</t>
  </si>
  <si>
    <r>
      <t xml:space="preserve">National-level product demand by disaggregated demand categories; note that this represents </t>
    </r>
    <r>
      <rPr>
        <i/>
        <sz val="11"/>
        <color theme="1"/>
        <rFont val="Times New Roman"/>
        <charset val="134"/>
      </rPr>
      <t>net demand</t>
    </r>
    <r>
      <rPr>
        <sz val="11"/>
        <color theme="1"/>
        <rFont val="Times New Roman"/>
        <charset val="134"/>
      </rPr>
      <t xml:space="preserve"> (accounting for recycling), not gross demand</t>
    </r>
  </si>
  <si>
    <t>HVC_para</t>
  </si>
  <si>
    <t>Techno-economic parameters of HVC products</t>
  </si>
  <si>
    <t>HVC_CCS_ratio</t>
  </si>
  <si>
    <t>Fraction of carbon in ETH, PRO, and BTX that can be permanently sequestered via waste incineration coupled with CCS</t>
  </si>
  <si>
    <t>energy_intensity</t>
  </si>
  <si>
    <t>Energy requirements of chemical products under different processes</t>
  </si>
  <si>
    <t>fuel_para</t>
  </si>
  <si>
    <t>Techno-economic parameters of natural gas and biomass used for combustion</t>
  </si>
  <si>
    <t>electricity_CF</t>
  </si>
  <si>
    <t>Carbon emission factors of electricity, sourced from CHEER-Power</t>
  </si>
  <si>
    <t>electricity_cost</t>
  </si>
  <si>
    <t>Electricity costs, sourced from CHEER-Power</t>
  </si>
  <si>
    <t>W&amp;S_POT</t>
  </si>
  <si>
    <t>Upper bounds of provincial wind and solar power potential</t>
  </si>
  <si>
    <t>Other descriptions</t>
  </si>
  <si>
    <t>Boundary of carbon emissions</t>
  </si>
  <si>
    <t>Covering the production, use, and end-of-life stages; the end-of-life stage specifies a fraction of carbon that can be permanently sequestered, including permanent landfilling.</t>
  </si>
  <si>
    <t>Boundary of CCS</t>
  </si>
  <si>
    <t>Excluding CCS demand associated with DACCS and end-of-life disposal.</t>
  </si>
  <si>
    <t>cost</t>
  </si>
  <si>
    <t>unit</t>
  </si>
  <si>
    <t>technology</t>
  </si>
  <si>
    <t>CAP</t>
  </si>
  <si>
    <t>RMB/kW.year</t>
  </si>
  <si>
    <t>Wind</t>
  </si>
  <si>
    <t>Sloar</t>
  </si>
  <si>
    <t>Hydro</t>
  </si>
  <si>
    <t>Nuclear</t>
  </si>
  <si>
    <t>Energy_stroage</t>
  </si>
  <si>
    <t>AE</t>
  </si>
  <si>
    <t>PEM</t>
  </si>
  <si>
    <t>SOEC</t>
  </si>
  <si>
    <t>THP</t>
  </si>
  <si>
    <t>BG</t>
  </si>
  <si>
    <t>CG</t>
  </si>
  <si>
    <t>SMR</t>
  </si>
  <si>
    <t>EXT</t>
  </si>
  <si>
    <t>OM</t>
  </si>
  <si>
    <t>process</t>
  </si>
  <si>
    <t>Wind-es-AE</t>
  </si>
  <si>
    <t>RMB/KWh</t>
  </si>
  <si>
    <t>Wind-es-PEM</t>
  </si>
  <si>
    <t>Solar-es-AE</t>
  </si>
  <si>
    <t>Solar-es-PEM</t>
  </si>
  <si>
    <t>Hydro-es-AE</t>
  </si>
  <si>
    <t>Hydro-es-PEM</t>
  </si>
  <si>
    <t>Wind-wes-AE</t>
  </si>
  <si>
    <t>Wind-wes-PEM</t>
  </si>
  <si>
    <t>Solar-wes-AE</t>
  </si>
  <si>
    <t>Solar-wes-PEM</t>
  </si>
  <si>
    <t>Hydro-wes-AE</t>
  </si>
  <si>
    <t>Hydro-wes-PEM</t>
  </si>
  <si>
    <t>Nuclear-wes-AE</t>
  </si>
  <si>
    <t>Nuclear-wes-PEM</t>
  </si>
  <si>
    <t>Nuclear-wes-SOEC</t>
  </si>
  <si>
    <t>Grid-AE</t>
  </si>
  <si>
    <t>Grid-PEM</t>
  </si>
  <si>
    <t>Nuclear-THP</t>
  </si>
  <si>
    <t>BG-CCS</t>
  </si>
  <si>
    <t>CG-CCS</t>
  </si>
  <si>
    <t>SMR-CCS</t>
  </si>
  <si>
    <t>product</t>
  </si>
  <si>
    <t>AMM</t>
  </si>
  <si>
    <t>RMB/kgNH3</t>
  </si>
  <si>
    <t>FS</t>
  </si>
  <si>
    <t>METH1</t>
  </si>
  <si>
    <t>RMB/kgM</t>
  </si>
  <si>
    <t>METH2</t>
  </si>
  <si>
    <t>METH3</t>
  </si>
  <si>
    <t>year</t>
  </si>
  <si>
    <t>ETH-NSC</t>
  </si>
  <si>
    <t>PRO-NSC</t>
  </si>
  <si>
    <t>BTX-NSC</t>
  </si>
  <si>
    <t>ETH-ESC</t>
  </si>
  <si>
    <t>BTX-CR</t>
  </si>
  <si>
    <t>PRO-CC</t>
  </si>
  <si>
    <t>PRO-PDH</t>
  </si>
  <si>
    <t>ETH-MTO</t>
  </si>
  <si>
    <t>PRO-MTO</t>
  </si>
  <si>
    <t>AE-h</t>
  </si>
  <si>
    <t>h</t>
  </si>
  <si>
    <t>PEM-h</t>
  </si>
  <si>
    <t>SOEC-h</t>
  </si>
  <si>
    <t>AE-OPH</t>
  </si>
  <si>
    <t>PEM-OPH</t>
  </si>
  <si>
    <t>SOEC-OPH</t>
  </si>
  <si>
    <t>PROVINCE_ID</t>
  </si>
  <si>
    <t>PROVINCE</t>
  </si>
  <si>
    <t>Hydro-OH</t>
  </si>
  <si>
    <t>Wind-OH</t>
  </si>
  <si>
    <t>Solar-OH</t>
  </si>
  <si>
    <t>AH</t>
  </si>
  <si>
    <t>Anhui</t>
  </si>
  <si>
    <t>BJ</t>
  </si>
  <si>
    <t>Beijing</t>
  </si>
  <si>
    <t>CQ</t>
  </si>
  <si>
    <t>Chongqing</t>
  </si>
  <si>
    <t>FJ</t>
  </si>
  <si>
    <t>Fujian</t>
  </si>
  <si>
    <t>GS</t>
  </si>
  <si>
    <t>Gansu</t>
  </si>
  <si>
    <t>GD</t>
  </si>
  <si>
    <t>Guangdong</t>
  </si>
  <si>
    <t>GX</t>
  </si>
  <si>
    <t>Guangxi</t>
  </si>
  <si>
    <t>GZ</t>
  </si>
  <si>
    <t>Guizhou</t>
  </si>
  <si>
    <t>HI</t>
  </si>
  <si>
    <t>Hainan</t>
  </si>
  <si>
    <t>HE</t>
  </si>
  <si>
    <t>Hebei</t>
  </si>
  <si>
    <t>HL</t>
  </si>
  <si>
    <t>Heilongjiang</t>
  </si>
  <si>
    <t>HA</t>
  </si>
  <si>
    <t>Henan</t>
  </si>
  <si>
    <t>HU</t>
  </si>
  <si>
    <t>Hubei</t>
  </si>
  <si>
    <t>HN</t>
  </si>
  <si>
    <t>Hunan</t>
  </si>
  <si>
    <t>NM</t>
  </si>
  <si>
    <t>Inner Mongolia</t>
  </si>
  <si>
    <t>JS</t>
  </si>
  <si>
    <t>Jiangsu</t>
  </si>
  <si>
    <t>JX</t>
  </si>
  <si>
    <t>Jiangxi</t>
  </si>
  <si>
    <t>JL</t>
  </si>
  <si>
    <t>Jilin</t>
  </si>
  <si>
    <t>LN</t>
  </si>
  <si>
    <t>Liaoning</t>
  </si>
  <si>
    <t>NX</t>
  </si>
  <si>
    <t>Ningxia</t>
  </si>
  <si>
    <t>QH</t>
  </si>
  <si>
    <t>Qinghai</t>
  </si>
  <si>
    <t>SA</t>
  </si>
  <si>
    <t>Shaanxi</t>
  </si>
  <si>
    <t>SD</t>
  </si>
  <si>
    <t>Shandong</t>
  </si>
  <si>
    <t>SH</t>
  </si>
  <si>
    <t>Shanghai</t>
  </si>
  <si>
    <t>SX</t>
  </si>
  <si>
    <t>Shanxi</t>
  </si>
  <si>
    <t>SC</t>
  </si>
  <si>
    <t>Sichuan</t>
  </si>
  <si>
    <t>TJ</t>
  </si>
  <si>
    <t>Tianjin</t>
  </si>
  <si>
    <t>XJ</t>
  </si>
  <si>
    <t>Xinjiang</t>
  </si>
  <si>
    <t>YN</t>
  </si>
  <si>
    <t>Yunnan</t>
  </si>
  <si>
    <t>ZJ</t>
  </si>
  <si>
    <t>Zhejiang</t>
  </si>
  <si>
    <t>h/year</t>
  </si>
  <si>
    <t>Nuclear-es-AE</t>
  </si>
  <si>
    <t>Nuclear-es-PEM</t>
  </si>
  <si>
    <t>Nuclear-es-SOEC</t>
  </si>
  <si>
    <t>kg/kWh</t>
  </si>
  <si>
    <t>es_effiency</t>
  </si>
  <si>
    <t>%</t>
  </si>
  <si>
    <t>kgCO2/kgH2</t>
  </si>
  <si>
    <t>Coal-based</t>
  </si>
  <si>
    <t>tCO2/tMETH</t>
  </si>
  <si>
    <t>Coal-based-CCS</t>
  </si>
  <si>
    <t>Gas-based</t>
  </si>
  <si>
    <t>Gas-based-CCS</t>
  </si>
  <si>
    <t>By-product-based</t>
  </si>
  <si>
    <t>Coal-GH-based</t>
  </si>
  <si>
    <t>Biomass-based</t>
  </si>
  <si>
    <t>Biomass-based-CCS</t>
  </si>
  <si>
    <t>CO2-GH-based</t>
  </si>
  <si>
    <t>DAC-GH-based</t>
  </si>
  <si>
    <t>KW</t>
  </si>
  <si>
    <t>Mt</t>
  </si>
  <si>
    <t>technologies</t>
  </si>
  <si>
    <t>Mt H2</t>
  </si>
  <si>
    <t>Coal</t>
  </si>
  <si>
    <t>Gas</t>
  </si>
  <si>
    <t>By-product</t>
  </si>
  <si>
    <r>
      <rPr>
        <sz val="12"/>
        <color theme="1"/>
        <rFont val="TimesNewRomanPSMT"/>
        <charset val="134"/>
      </rPr>
      <t>Others(electrolysis</t>
    </r>
    <r>
      <rPr>
        <sz val="12"/>
        <color theme="1"/>
        <rFont val="宋体"/>
        <charset val="134"/>
      </rPr>
      <t>…</t>
    </r>
    <r>
      <rPr>
        <sz val="12"/>
        <color theme="1"/>
        <rFont val="MingLiU-ExtB"/>
        <charset val="136"/>
      </rPr>
      <t>)</t>
    </r>
  </si>
  <si>
    <t>Ammonia</t>
  </si>
  <si>
    <t>Methanol</t>
  </si>
  <si>
    <t>Refining</t>
  </si>
  <si>
    <t>Others(Heating, Waste…)</t>
  </si>
  <si>
    <t>METH-CG</t>
  </si>
  <si>
    <t>METH-EXT</t>
  </si>
  <si>
    <t>METH-SMR</t>
  </si>
  <si>
    <t>AMM-CG</t>
  </si>
  <si>
    <t>AMM-EXT</t>
  </si>
  <si>
    <t>AMM-SMR</t>
  </si>
  <si>
    <t>Oil_Share</t>
  </si>
  <si>
    <t>METH_import</t>
  </si>
  <si>
    <t>AMM_Share</t>
  </si>
  <si>
    <t>METH_Share</t>
  </si>
  <si>
    <t>ETH_Share</t>
  </si>
  <si>
    <t>PRO_Share</t>
  </si>
  <si>
    <t>BTX_Share</t>
  </si>
  <si>
    <t>METH_Import_Share</t>
  </si>
  <si>
    <t>AMM_Supply_Share</t>
  </si>
  <si>
    <t>METH_Supply_Share</t>
  </si>
  <si>
    <t>ETH_Supply_Share</t>
  </si>
  <si>
    <t>PRO_Supply_Share</t>
  </si>
  <si>
    <t>BTX_Supply_Share</t>
  </si>
  <si>
    <t>Oil_Supply_Share</t>
  </si>
  <si>
    <t>scenario</t>
  </si>
  <si>
    <t>S2</t>
  </si>
  <si>
    <t>RMB/t</t>
  </si>
  <si>
    <t>Province</t>
  </si>
  <si>
    <t>downstream</t>
  </si>
  <si>
    <t>basic</t>
  </si>
  <si>
    <t>METH</t>
  </si>
  <si>
    <t>Oil</t>
  </si>
  <si>
    <t>more</t>
  </si>
  <si>
    <t>less</t>
  </si>
  <si>
    <t>M-not CN</t>
  </si>
  <si>
    <t>kg</t>
  </si>
  <si>
    <t>H-CN 2060</t>
  </si>
  <si>
    <t>L：BAU</t>
  </si>
  <si>
    <t>Hydro_2023</t>
  </si>
  <si>
    <t>Nuclear_2023</t>
  </si>
  <si>
    <t>BAU</t>
  </si>
  <si>
    <t>MAR II</t>
  </si>
  <si>
    <t>MAR I</t>
  </si>
  <si>
    <t>MAR I+II</t>
  </si>
  <si>
    <t>level</t>
  </si>
  <si>
    <t>low</t>
  </si>
  <si>
    <t>medium</t>
  </si>
  <si>
    <t>high</t>
  </si>
  <si>
    <t>Wind-Al</t>
  </si>
  <si>
    <t>Wind-Nd</t>
  </si>
  <si>
    <t>Solar-Al</t>
  </si>
  <si>
    <t>Solar-Sb</t>
  </si>
  <si>
    <t>AE-Ni</t>
  </si>
  <si>
    <t>SOEC-Ni</t>
  </si>
  <si>
    <t>SOEC-Sc</t>
  </si>
  <si>
    <t>SOEC-La</t>
  </si>
  <si>
    <t>SOEC-Y</t>
  </si>
  <si>
    <t>PEM-Ti</t>
  </si>
  <si>
    <t>PEM-Pt</t>
  </si>
  <si>
    <t>PEM-Ir</t>
  </si>
  <si>
    <t>Energy_stroage-Li</t>
  </si>
  <si>
    <t>DAC-M</t>
  </si>
  <si>
    <t>DAC-H</t>
  </si>
  <si>
    <t>DAC-L</t>
  </si>
  <si>
    <t>DIS</t>
  </si>
  <si>
    <t>type</t>
  </si>
  <si>
    <t>H2</t>
  </si>
  <si>
    <t>USD/t.km</t>
  </si>
  <si>
    <t>pipeline</t>
  </si>
  <si>
    <t>chemical</t>
  </si>
  <si>
    <t>Agriculture</t>
  </si>
  <si>
    <t>Industry</t>
  </si>
  <si>
    <t>Energy carrier</t>
  </si>
  <si>
    <t>MTO_domestic</t>
  </si>
  <si>
    <t>Traditional industry</t>
  </si>
  <si>
    <t>MTO_import</t>
  </si>
  <si>
    <t>Transport</t>
  </si>
  <si>
    <t>HVC</t>
  </si>
  <si>
    <t>ETH</t>
  </si>
  <si>
    <t>Ethylene</t>
  </si>
  <si>
    <t>PRO</t>
  </si>
  <si>
    <t>Propylene</t>
  </si>
  <si>
    <t>BTX</t>
  </si>
  <si>
    <t>var</t>
  </si>
  <si>
    <t>value</t>
  </si>
  <si>
    <t>NSC</t>
  </si>
  <si>
    <t>USD/t HVC.年</t>
  </si>
  <si>
    <t>USD/t HVC</t>
  </si>
  <si>
    <t>out/in-2020</t>
  </si>
  <si>
    <t>t HVC/t naphtha</t>
  </si>
  <si>
    <t>out/in-2030</t>
  </si>
  <si>
    <t>out/in-2040</t>
  </si>
  <si>
    <t>out/in-2050</t>
  </si>
  <si>
    <t>out/in-2060</t>
  </si>
  <si>
    <t>output-E</t>
  </si>
  <si>
    <t>t E/t HVC</t>
  </si>
  <si>
    <t>25-35%</t>
  </si>
  <si>
    <t>output-P</t>
  </si>
  <si>
    <t>t P/t HVC</t>
  </si>
  <si>
    <t>13-20%</t>
  </si>
  <si>
    <t>output-BTX</t>
  </si>
  <si>
    <t>t BTX/t HVC</t>
  </si>
  <si>
    <t>10-15%</t>
  </si>
  <si>
    <t>output-sum</t>
  </si>
  <si>
    <t>t EPBTX/t HVC</t>
  </si>
  <si>
    <t>FS_cost-2020</t>
  </si>
  <si>
    <t>USD/t naphtha</t>
  </si>
  <si>
    <t>FS_cost-2030</t>
  </si>
  <si>
    <t>FS_cost-2040</t>
  </si>
  <si>
    <t>FS_cost-2050</t>
  </si>
  <si>
    <t>FS_cost-2060</t>
  </si>
  <si>
    <t>tCO2/tEorPorBTX</t>
  </si>
  <si>
    <t>CC</t>
  </si>
  <si>
    <t>USD/t P</t>
  </si>
  <si>
    <t>t P/t heavy oil</t>
  </si>
  <si>
    <t>USD/t heavy oil</t>
  </si>
  <si>
    <t>t CO2/t P</t>
  </si>
  <si>
    <t>CR</t>
  </si>
  <si>
    <t>USD/t BTX</t>
  </si>
  <si>
    <t>t BTX/t naphtha</t>
  </si>
  <si>
    <t>t CO2/t BTX</t>
  </si>
  <si>
    <t>ESC</t>
  </si>
  <si>
    <t>USD/t E</t>
  </si>
  <si>
    <t>t E/t Eth</t>
  </si>
  <si>
    <t>USD/t Eth</t>
  </si>
  <si>
    <t>t CO2/t E</t>
  </si>
  <si>
    <t>PDH</t>
  </si>
  <si>
    <t>t P/t Propane</t>
  </si>
  <si>
    <t>USD/t Propane</t>
  </si>
  <si>
    <t>H2-by product</t>
  </si>
  <si>
    <t>t H2/t P</t>
  </si>
  <si>
    <t>MTO</t>
  </si>
  <si>
    <t>t E/t M</t>
  </si>
  <si>
    <t>USD/t M</t>
  </si>
  <si>
    <t>t CO2/t EorP</t>
  </si>
  <si>
    <t>Embodied CF</t>
  </si>
  <si>
    <t>t CO2/t</t>
  </si>
  <si>
    <t>t CO3/t</t>
  </si>
  <si>
    <t>t CO4/t</t>
  </si>
  <si>
    <t>t CO5/t</t>
  </si>
  <si>
    <t>HVCs</t>
  </si>
  <si>
    <t>EOL-CCS ratio</t>
  </si>
  <si>
    <t>Solar_Distributed</t>
  </si>
  <si>
    <t>Solar_Utility</t>
  </si>
  <si>
    <t>Wind_Offshore</t>
  </si>
  <si>
    <t>Wind_Onshore</t>
  </si>
  <si>
    <t>Solar</t>
  </si>
  <si>
    <t>Tibet</t>
  </si>
  <si>
    <t>H_GJ/t</t>
  </si>
  <si>
    <t>E_MWh/t</t>
  </si>
  <si>
    <t>fuel</t>
  </si>
  <si>
    <t>Biomass</t>
  </si>
  <si>
    <t>heat value</t>
  </si>
  <si>
    <t>GJ/t</t>
  </si>
  <si>
    <t>heat eff</t>
  </si>
  <si>
    <t>tCO2/t</t>
  </si>
  <si>
    <t>cost-2020</t>
  </si>
  <si>
    <t>CNY/t</t>
  </si>
  <si>
    <t>cost-2030</t>
  </si>
  <si>
    <t>cost-2040</t>
  </si>
  <si>
    <t>cost-2050</t>
  </si>
  <si>
    <t>cost-2060</t>
  </si>
  <si>
    <t>CF-CCS</t>
  </si>
  <si>
    <t>CAP+OM</t>
  </si>
  <si>
    <t>元/GJ</t>
  </si>
  <si>
    <t>NG</t>
  </si>
  <si>
    <t>CNY/GJ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</si>
</sst>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3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2"/>
      <color theme="1"/>
      <name val="宋体"/>
      <charset val="134"/>
    </font>
    <font>
      <sz val="12"/>
      <color theme="1"/>
      <name val="TimesNewRomanPSMT"/>
      <charset val="134"/>
    </font>
    <font>
      <sz val="8"/>
      <color rgb="FF000000"/>
      <name val="Arial"/>
      <charset val="134"/>
    </font>
    <font>
      <sz val="11"/>
      <color indexed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theme="1"/>
      <name val="MingLiU-ExtB"/>
      <charset val="136"/>
    </font>
    <font>
      <i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645985290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>
      <alignment vertical="center"/>
    </xf>
    <xf numFmtId="0" fontId="0" fillId="0" borderId="0">
      <alignment vertical="center"/>
    </xf>
    <xf numFmtId="0" fontId="0" fillId="0" borderId="0"/>
    <xf numFmtId="0" fontId="29" fillId="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55">
      <alignment vertical="center"/>
    </xf>
    <xf numFmtId="0" fontId="0" fillId="0" borderId="0" xfId="55" applyFill="1">
      <alignment vertical="center"/>
    </xf>
    <xf numFmtId="0" fontId="0" fillId="2" borderId="1" xfId="55" applyFill="1" applyBorder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ont="1">
      <alignment vertical="center"/>
    </xf>
    <xf numFmtId="1" fontId="4" fillId="0" borderId="2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wrapText="1"/>
    </xf>
    <xf numFmtId="0" fontId="3" fillId="0" borderId="0" xfId="50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0" applyFont="1" applyFill="1" applyBorder="1">
      <alignment vertical="center"/>
    </xf>
    <xf numFmtId="0" fontId="0" fillId="0" borderId="0" xfId="0" applyFont="1" applyAlignment="1"/>
    <xf numFmtId="177" fontId="0" fillId="0" borderId="0" xfId="50" applyNumberFormat="1" applyFont="1" applyFill="1">
      <alignment vertical="center"/>
    </xf>
    <xf numFmtId="58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 6" xfId="56"/>
    <cellStyle name="好 2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zoomScale="210" zoomScaleNormal="210" workbookViewId="0">
      <selection activeCell="A2" sqref="A2"/>
    </sheetView>
  </sheetViews>
  <sheetFormatPr defaultColWidth="9" defaultRowHeight="14" outlineLevelCol="1"/>
  <cols>
    <col min="1" max="1" width="22.2166666666667" style="27" customWidth="1"/>
    <col min="2" max="2" width="99.4416666666667" style="28" customWidth="1"/>
    <col min="3" max="16384" width="9" style="28"/>
  </cols>
  <sheetData>
    <row r="1" spans="1:2">
      <c r="A1" s="29" t="s">
        <v>0</v>
      </c>
      <c r="B1" s="29" t="s">
        <v>1</v>
      </c>
    </row>
    <row r="2" spans="1:2">
      <c r="A2" s="30" t="s">
        <v>2</v>
      </c>
      <c r="B2" s="31" t="s">
        <v>3</v>
      </c>
    </row>
    <row r="3" spans="1:2">
      <c r="A3" s="30" t="s">
        <v>4</v>
      </c>
      <c r="B3" s="31" t="s">
        <v>5</v>
      </c>
    </row>
    <row r="4" ht="28" spans="1:2">
      <c r="A4" s="30" t="s">
        <v>6</v>
      </c>
      <c r="B4" s="31" t="s">
        <v>7</v>
      </c>
    </row>
    <row r="5" spans="1:2">
      <c r="A5" s="30" t="s">
        <v>8</v>
      </c>
      <c r="B5" s="31" t="s">
        <v>9</v>
      </c>
    </row>
    <row r="6" spans="1:2">
      <c r="A6" s="30" t="s">
        <v>10</v>
      </c>
      <c r="B6" s="31" t="s">
        <v>11</v>
      </c>
    </row>
    <row r="7" spans="1:2">
      <c r="A7" s="30" t="s">
        <v>12</v>
      </c>
      <c r="B7" s="31" t="s">
        <v>13</v>
      </c>
    </row>
    <row r="8" spans="1:2">
      <c r="A8" s="30" t="s">
        <v>14</v>
      </c>
      <c r="B8" s="31" t="s">
        <v>15</v>
      </c>
    </row>
    <row r="9" spans="1:2">
      <c r="A9" s="30" t="s">
        <v>16</v>
      </c>
      <c r="B9" s="31" t="s">
        <v>17</v>
      </c>
    </row>
    <row r="10" spans="1:2">
      <c r="A10" s="30" t="s">
        <v>18</v>
      </c>
      <c r="B10" s="31" t="s">
        <v>19</v>
      </c>
    </row>
    <row r="11" ht="28" spans="1:2">
      <c r="A11" s="30" t="s">
        <v>20</v>
      </c>
      <c r="B11" s="31" t="s">
        <v>21</v>
      </c>
    </row>
    <row r="12" spans="1:2">
      <c r="A12" s="30" t="s">
        <v>22</v>
      </c>
      <c r="B12" s="31" t="s">
        <v>23</v>
      </c>
    </row>
    <row r="13" spans="1:2">
      <c r="A13" s="30" t="s">
        <v>24</v>
      </c>
      <c r="B13" s="31" t="s">
        <v>25</v>
      </c>
    </row>
    <row r="14" spans="1:2">
      <c r="A14" s="30" t="s">
        <v>26</v>
      </c>
      <c r="B14" s="31" t="s">
        <v>27</v>
      </c>
    </row>
    <row r="15" spans="1:2">
      <c r="A15" s="30" t="s">
        <v>28</v>
      </c>
      <c r="B15" s="31" t="s">
        <v>29</v>
      </c>
    </row>
    <row r="16" spans="1:2">
      <c r="A16" s="30" t="s">
        <v>30</v>
      </c>
      <c r="B16" s="31" t="s">
        <v>31</v>
      </c>
    </row>
    <row r="17" spans="1:2">
      <c r="A17" s="30" t="s">
        <v>32</v>
      </c>
      <c r="B17" s="31" t="s">
        <v>33</v>
      </c>
    </row>
    <row r="18" spans="1:2">
      <c r="A18" s="30" t="s">
        <v>34</v>
      </c>
      <c r="B18" s="31" t="s">
        <v>35</v>
      </c>
    </row>
    <row r="19" ht="28" spans="1:2">
      <c r="A19" s="30" t="s">
        <v>36</v>
      </c>
      <c r="B19" s="31" t="s">
        <v>37</v>
      </c>
    </row>
    <row r="20" spans="1:2">
      <c r="A20" s="30" t="s">
        <v>38</v>
      </c>
      <c r="B20" s="31" t="s">
        <v>39</v>
      </c>
    </row>
    <row r="21" ht="28" spans="1:2">
      <c r="A21" s="30" t="s">
        <v>40</v>
      </c>
      <c r="B21" s="31" t="s">
        <v>41</v>
      </c>
    </row>
    <row r="22" spans="1:2">
      <c r="A22" s="30" t="s">
        <v>42</v>
      </c>
      <c r="B22" s="31" t="s">
        <v>43</v>
      </c>
    </row>
    <row r="23" spans="1:2">
      <c r="A23" s="30" t="s">
        <v>44</v>
      </c>
      <c r="B23" s="31" t="s">
        <v>45</v>
      </c>
    </row>
    <row r="24" spans="1:2">
      <c r="A24" s="30" t="s">
        <v>46</v>
      </c>
      <c r="B24" s="31" t="s">
        <v>47</v>
      </c>
    </row>
    <row r="25" spans="1:2">
      <c r="A25" s="30" t="s">
        <v>48</v>
      </c>
      <c r="B25" s="31" t="s">
        <v>49</v>
      </c>
    </row>
    <row r="26" ht="28" spans="1:2">
      <c r="A26" s="30" t="s">
        <v>50</v>
      </c>
      <c r="B26" s="31" t="s">
        <v>51</v>
      </c>
    </row>
    <row r="27" spans="1:2">
      <c r="A27" s="30" t="s">
        <v>52</v>
      </c>
      <c r="B27" s="31" t="s">
        <v>53</v>
      </c>
    </row>
    <row r="28" spans="1:2">
      <c r="A28" s="30" t="s">
        <v>54</v>
      </c>
      <c r="B28" s="31" t="s">
        <v>55</v>
      </c>
    </row>
    <row r="29" spans="1:2">
      <c r="A29" s="30" t="s">
        <v>56</v>
      </c>
      <c r="B29" s="31" t="s">
        <v>57</v>
      </c>
    </row>
    <row r="30" spans="1:2">
      <c r="A30" s="30" t="s">
        <v>58</v>
      </c>
      <c r="B30" s="31" t="s">
        <v>59</v>
      </c>
    </row>
    <row r="31" spans="1:2">
      <c r="A31" s="30" t="s">
        <v>60</v>
      </c>
      <c r="B31" s="31" t="s">
        <v>61</v>
      </c>
    </row>
    <row r="32" spans="1:2">
      <c r="A32" s="30" t="s">
        <v>62</v>
      </c>
      <c r="B32" s="31" t="s">
        <v>63</v>
      </c>
    </row>
    <row r="33" spans="1:2">
      <c r="A33" s="30" t="s">
        <v>64</v>
      </c>
      <c r="B33" s="31" t="s">
        <v>65</v>
      </c>
    </row>
    <row r="35" spans="1:2">
      <c r="A35" s="29" t="s">
        <v>66</v>
      </c>
    </row>
    <row r="36" spans="1:2">
      <c r="A36" s="30" t="s">
        <v>67</v>
      </c>
      <c r="B36" s="32" t="s">
        <v>68</v>
      </c>
    </row>
    <row r="37" spans="1:2">
      <c r="A37" s="30" t="s">
        <v>69</v>
      </c>
      <c r="B37" s="32" t="s">
        <v>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69" zoomScaleNormal="169" workbookViewId="0">
      <selection activeCell="D17" sqref="D17"/>
    </sheetView>
  </sheetViews>
  <sheetFormatPr defaultColWidth="9" defaultRowHeight="14"/>
  <cols>
    <col min="3" max="3" width="20.4416666666667" customWidth="1"/>
  </cols>
  <sheetData>
    <row r="1" spans="1:12">
      <c r="A1" t="s">
        <v>71</v>
      </c>
      <c r="B1" t="s">
        <v>72</v>
      </c>
      <c r="C1" t="s">
        <v>73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spans="1:12">
      <c r="A2" t="s">
        <v>74</v>
      </c>
      <c r="B2" t="s">
        <v>75</v>
      </c>
      <c r="C2" t="s">
        <v>76</v>
      </c>
      <c r="D2">
        <v>655.751453363777</v>
      </c>
      <c r="E2">
        <v>584.783588230735</v>
      </c>
      <c r="F2">
        <v>520.247368118962</v>
      </c>
      <c r="G2">
        <v>487.672438319465</v>
      </c>
      <c r="H2">
        <v>456.645230944604</v>
      </c>
      <c r="I2">
        <v>439.508568810774</v>
      </c>
      <c r="J2">
        <v>422.830834792541</v>
      </c>
      <c r="K2">
        <v>417.527581410102</v>
      </c>
      <c r="L2">
        <v>412.270134992595</v>
      </c>
    </row>
    <row r="3" spans="1:12">
      <c r="A3" t="s">
        <v>74</v>
      </c>
      <c r="B3" t="s">
        <v>75</v>
      </c>
      <c r="C3" t="s">
        <v>77</v>
      </c>
      <c r="D3">
        <v>374.715116207872</v>
      </c>
      <c r="E3">
        <v>286.490769952615</v>
      </c>
      <c r="F3">
        <v>216.850540516767</v>
      </c>
      <c r="G3">
        <v>181.830934404816</v>
      </c>
      <c r="H3">
        <v>165.888141029567</v>
      </c>
      <c r="I3">
        <v>155.865422008648</v>
      </c>
      <c r="J3">
        <v>146.207578242088</v>
      </c>
      <c r="K3">
        <v>144.078723614003</v>
      </c>
      <c r="L3">
        <v>141.967198146056</v>
      </c>
    </row>
    <row r="4" spans="1:12">
      <c r="A4" t="s">
        <v>74</v>
      </c>
      <c r="B4" t="s">
        <v>75</v>
      </c>
      <c r="C4" t="s">
        <v>78</v>
      </c>
      <c r="D4">
        <v>977.101767259995</v>
      </c>
      <c r="E4">
        <v>977.101767259995</v>
      </c>
      <c r="F4">
        <v>977.101767259995</v>
      </c>
      <c r="G4">
        <v>977.101767259995</v>
      </c>
      <c r="H4">
        <v>977.101767259995</v>
      </c>
      <c r="I4">
        <v>977.101767259995</v>
      </c>
      <c r="J4">
        <v>977.101767259995</v>
      </c>
      <c r="K4">
        <v>977.101767259995</v>
      </c>
      <c r="L4">
        <v>977.101767259995</v>
      </c>
    </row>
    <row r="5" spans="1:12">
      <c r="A5" t="s">
        <v>74</v>
      </c>
      <c r="B5" t="s">
        <v>75</v>
      </c>
      <c r="C5" t="s">
        <v>79</v>
      </c>
      <c r="D5">
        <v>1467.55282626024</v>
      </c>
      <c r="E5">
        <v>1341.76258400937</v>
      </c>
      <c r="F5">
        <v>1215.97234175849</v>
      </c>
      <c r="G5">
        <v>1086.37027398486</v>
      </c>
      <c r="H5">
        <v>1174.04226100819</v>
      </c>
      <c r="I5">
        <v>1153.07722063305</v>
      </c>
      <c r="J5">
        <v>1132.1121802579</v>
      </c>
      <c r="K5">
        <v>1111.14713988276</v>
      </c>
      <c r="L5">
        <v>1090.18209950761</v>
      </c>
    </row>
    <row r="6" spans="1:12">
      <c r="A6" t="s">
        <v>74</v>
      </c>
      <c r="B6" t="s">
        <v>75</v>
      </c>
      <c r="C6" t="s">
        <v>80</v>
      </c>
      <c r="D6">
        <v>745.147443485377</v>
      </c>
      <c r="E6">
        <v>588.320637006864</v>
      </c>
      <c r="F6">
        <v>497.606313466761</v>
      </c>
      <c r="G6">
        <v>442.826318187945</v>
      </c>
      <c r="H6">
        <v>383.792500272039</v>
      </c>
      <c r="I6">
        <v>357.82571584213</v>
      </c>
      <c r="J6">
        <v>333.139393558031</v>
      </c>
      <c r="K6">
        <v>315.355104919356</v>
      </c>
      <c r="L6">
        <v>326.620233154465</v>
      </c>
    </row>
    <row r="7" spans="1:12">
      <c r="A7" t="s">
        <v>74</v>
      </c>
      <c r="B7" t="s">
        <v>75</v>
      </c>
      <c r="C7" t="s">
        <v>81</v>
      </c>
      <c r="D7">
        <v>562.072674311809</v>
      </c>
      <c r="E7">
        <v>471.971278852075</v>
      </c>
      <c r="F7">
        <v>381.869883392341</v>
      </c>
      <c r="G7">
        <v>354.385816547753</v>
      </c>
      <c r="H7">
        <v>326.901749703165</v>
      </c>
      <c r="I7">
        <v>313.741235545415</v>
      </c>
      <c r="J7">
        <v>300.580721387666</v>
      </c>
      <c r="K7">
        <v>297.896086350301</v>
      </c>
      <c r="L7">
        <v>295.211451312936</v>
      </c>
    </row>
    <row r="8" spans="1:12">
      <c r="A8" t="s">
        <v>74</v>
      </c>
      <c r="B8" t="s">
        <v>75</v>
      </c>
      <c r="C8" t="s">
        <v>82</v>
      </c>
      <c r="D8">
        <v>1124.14534862362</v>
      </c>
      <c r="E8">
        <v>821.973845282795</v>
      </c>
      <c r="F8">
        <v>519.802341941972</v>
      </c>
      <c r="G8">
        <v>444.118062472403</v>
      </c>
      <c r="H8">
        <v>368.433783002834</v>
      </c>
      <c r="I8">
        <v>337.473067325779</v>
      </c>
      <c r="J8">
        <v>306.512351648723</v>
      </c>
      <c r="K8">
        <v>291.518174761051</v>
      </c>
      <c r="L8">
        <v>276.523997873378</v>
      </c>
    </row>
    <row r="9" spans="1:12">
      <c r="A9" t="s">
        <v>74</v>
      </c>
      <c r="B9" t="s">
        <v>75</v>
      </c>
      <c r="C9" t="s">
        <v>83</v>
      </c>
      <c r="D9">
        <v>3343.16674174081</v>
      </c>
      <c r="E9">
        <v>1939.58124934663</v>
      </c>
      <c r="F9">
        <v>1180.3526160548</v>
      </c>
      <c r="G9">
        <v>936.787790519681</v>
      </c>
      <c r="H9">
        <v>740.062354510548</v>
      </c>
      <c r="I9">
        <v>562.072674311809</v>
      </c>
      <c r="J9">
        <v>487.129651070234</v>
      </c>
      <c r="K9">
        <v>473.077834212439</v>
      </c>
      <c r="L9">
        <v>459.026017354644</v>
      </c>
    </row>
    <row r="10" spans="1:12">
      <c r="A10" t="s">
        <v>74</v>
      </c>
      <c r="B10" t="s">
        <v>75</v>
      </c>
      <c r="C10" t="s">
        <v>84</v>
      </c>
      <c r="D10">
        <v>2054.57395676434</v>
      </c>
      <c r="E10">
        <v>1928.78371451346</v>
      </c>
      <c r="F10">
        <v>1802.99347226258</v>
      </c>
      <c r="G10">
        <v>1719.133310762</v>
      </c>
      <c r="H10">
        <v>1635.27314926141</v>
      </c>
      <c r="I10">
        <v>1593.34306851112</v>
      </c>
      <c r="J10">
        <v>1551.41298776083</v>
      </c>
      <c r="K10">
        <v>1561.8955079484</v>
      </c>
      <c r="L10">
        <v>1572.37802813598</v>
      </c>
    </row>
    <row r="11" spans="1:12">
      <c r="A11" t="s">
        <v>74</v>
      </c>
      <c r="B11" t="s">
        <v>75</v>
      </c>
      <c r="C11" t="s">
        <v>85</v>
      </c>
      <c r="D11">
        <v>1154.75663403454</v>
      </c>
      <c r="E11">
        <v>967.296141496465</v>
      </c>
      <c r="F11">
        <v>779.83564895839</v>
      </c>
      <c r="G11">
        <v>712.349871644684</v>
      </c>
      <c r="H11">
        <v>644.864094330977</v>
      </c>
      <c r="I11">
        <v>629.867254927931</v>
      </c>
      <c r="J11">
        <v>614.870415524885</v>
      </c>
      <c r="K11">
        <v>614.870415524885</v>
      </c>
      <c r="L11">
        <v>614.870415524885</v>
      </c>
    </row>
    <row r="12" spans="1:12">
      <c r="A12" t="s">
        <v>74</v>
      </c>
      <c r="B12" t="s">
        <v>75</v>
      </c>
      <c r="C12" t="s">
        <v>86</v>
      </c>
      <c r="D12">
        <v>562.072674311809</v>
      </c>
      <c r="E12">
        <v>562.072674311809</v>
      </c>
      <c r="F12">
        <v>562.072674311809</v>
      </c>
      <c r="G12">
        <v>562.072674311809</v>
      </c>
      <c r="H12">
        <v>562.072674311809</v>
      </c>
      <c r="I12">
        <v>562.072674311809</v>
      </c>
      <c r="J12">
        <v>562.072674311809</v>
      </c>
      <c r="K12">
        <v>562.072674311809</v>
      </c>
      <c r="L12">
        <v>562.072674311809</v>
      </c>
    </row>
    <row r="13" spans="1:12">
      <c r="A13" t="s">
        <v>74</v>
      </c>
      <c r="B13" t="s">
        <v>75</v>
      </c>
      <c r="C13" t="s">
        <v>87</v>
      </c>
      <c r="D13">
        <v>374.715116207872</v>
      </c>
      <c r="E13">
        <v>374.715116207872</v>
      </c>
      <c r="F13">
        <v>374.715116207872</v>
      </c>
      <c r="G13">
        <v>374.715116207872</v>
      </c>
      <c r="H13">
        <v>374.715116207872</v>
      </c>
      <c r="I13">
        <v>374.715116207872</v>
      </c>
      <c r="J13">
        <v>374.715116207872</v>
      </c>
      <c r="K13">
        <v>374.715116207872</v>
      </c>
      <c r="L13">
        <v>374.715116207872</v>
      </c>
    </row>
    <row r="14" spans="1:12">
      <c r="A14" t="s">
        <v>74</v>
      </c>
      <c r="B14" t="s">
        <v>75</v>
      </c>
      <c r="C14" t="s">
        <v>88</v>
      </c>
      <c r="D14">
        <v>253.350130785028</v>
      </c>
      <c r="E14">
        <v>253.350130785028</v>
      </c>
      <c r="F14">
        <v>253.350130785028</v>
      </c>
      <c r="G14">
        <v>253.350130785028</v>
      </c>
      <c r="H14">
        <v>253.350130785028</v>
      </c>
      <c r="I14">
        <v>253.350130785028</v>
      </c>
      <c r="J14">
        <v>253.350130785028</v>
      </c>
      <c r="K14">
        <v>253.350130785028</v>
      </c>
      <c r="L14">
        <v>253.350130785028</v>
      </c>
    </row>
    <row r="15" spans="1:12">
      <c r="A15" t="s">
        <v>89</v>
      </c>
      <c r="B15" t="s">
        <v>75</v>
      </c>
      <c r="C15" t="s">
        <v>76</v>
      </c>
      <c r="D15">
        <v>280</v>
      </c>
      <c r="E15">
        <v>262.139709139752</v>
      </c>
      <c r="F15">
        <v>244.279418279504</v>
      </c>
      <c r="G15">
        <v>234.695207718248</v>
      </c>
      <c r="H15">
        <v>225.110997156992</v>
      </c>
      <c r="I15">
        <v>219.64419481853</v>
      </c>
      <c r="J15">
        <v>214.177392480068</v>
      </c>
      <c r="K15">
        <v>212.412462022048</v>
      </c>
      <c r="L15">
        <v>210.647531564028</v>
      </c>
    </row>
    <row r="16" spans="1:12">
      <c r="A16" t="s">
        <v>89</v>
      </c>
      <c r="B16" t="s">
        <v>75</v>
      </c>
      <c r="C16" t="s">
        <v>77</v>
      </c>
      <c r="D16">
        <v>160</v>
      </c>
      <c r="E16">
        <v>138.651285936352</v>
      </c>
      <c r="F16">
        <v>117.302571872704</v>
      </c>
      <c r="G16">
        <v>107.748479135603</v>
      </c>
      <c r="H16">
        <v>98.1943863985013</v>
      </c>
      <c r="I16">
        <v>94.0044563459156</v>
      </c>
      <c r="J16">
        <v>89.8145262933298</v>
      </c>
      <c r="K16">
        <v>88.8699672538725</v>
      </c>
      <c r="L16">
        <v>87.9254082144152</v>
      </c>
    </row>
    <row r="17" spans="1:12">
      <c r="A17" t="s">
        <v>89</v>
      </c>
      <c r="B17" t="s">
        <v>75</v>
      </c>
      <c r="C17" t="s">
        <v>78</v>
      </c>
      <c r="D17">
        <v>253</v>
      </c>
      <c r="E17">
        <v>253</v>
      </c>
      <c r="F17">
        <v>253</v>
      </c>
      <c r="G17">
        <v>253</v>
      </c>
      <c r="H17">
        <v>253</v>
      </c>
      <c r="I17">
        <v>253</v>
      </c>
      <c r="J17">
        <v>253</v>
      </c>
      <c r="K17">
        <v>253</v>
      </c>
      <c r="L17">
        <v>253</v>
      </c>
    </row>
    <row r="18" spans="1:12">
      <c r="A18" t="s">
        <v>89</v>
      </c>
      <c r="B18" t="s">
        <v>75</v>
      </c>
      <c r="C18" t="s">
        <v>79</v>
      </c>
      <c r="D18">
        <v>1400</v>
      </c>
      <c r="E18">
        <v>1280</v>
      </c>
      <c r="F18">
        <v>1160</v>
      </c>
      <c r="G18">
        <v>1036.36363636364</v>
      </c>
      <c r="H18">
        <v>1120</v>
      </c>
      <c r="I18">
        <v>1100</v>
      </c>
      <c r="J18">
        <v>1080</v>
      </c>
      <c r="K18">
        <v>1060</v>
      </c>
      <c r="L18">
        <v>1040</v>
      </c>
    </row>
    <row r="19" spans="1:12">
      <c r="A19" t="s">
        <v>89</v>
      </c>
      <c r="B19" t="s">
        <v>75</v>
      </c>
      <c r="C19" t="s">
        <v>80</v>
      </c>
      <c r="D19">
        <v>250</v>
      </c>
      <c r="E19">
        <v>210</v>
      </c>
      <c r="F19">
        <v>187.5</v>
      </c>
      <c r="G19">
        <v>175</v>
      </c>
      <c r="H19">
        <v>155</v>
      </c>
      <c r="I19">
        <v>147.5</v>
      </c>
      <c r="J19">
        <v>140</v>
      </c>
      <c r="K19">
        <v>134</v>
      </c>
      <c r="L19">
        <v>130</v>
      </c>
    </row>
    <row r="20" spans="1:12">
      <c r="A20" t="s">
        <v>89</v>
      </c>
      <c r="B20" t="s">
        <v>75</v>
      </c>
      <c r="C20" t="s">
        <v>81</v>
      </c>
      <c r="D20">
        <v>150</v>
      </c>
      <c r="E20">
        <v>125.954694229696</v>
      </c>
      <c r="F20">
        <v>101.909388459391</v>
      </c>
      <c r="G20">
        <v>94.5747319014368</v>
      </c>
      <c r="H20">
        <v>87.2400753434822</v>
      </c>
      <c r="I20">
        <v>83.7279367644641</v>
      </c>
      <c r="J20">
        <v>80.2157981854459</v>
      </c>
      <c r="K20">
        <v>79.4993512311481</v>
      </c>
      <c r="L20">
        <v>78.7829042768502</v>
      </c>
    </row>
    <row r="21" spans="1:12">
      <c r="A21" t="s">
        <v>89</v>
      </c>
      <c r="B21" t="s">
        <v>75</v>
      </c>
      <c r="C21" t="s">
        <v>82</v>
      </c>
      <c r="D21">
        <v>300</v>
      </c>
      <c r="E21">
        <v>219.359670781684</v>
      </c>
      <c r="F21">
        <v>138.719341563369</v>
      </c>
      <c r="G21">
        <v>118.521522955063</v>
      </c>
      <c r="H21">
        <v>98.3237043467566</v>
      </c>
      <c r="I21">
        <v>90.0612365844793</v>
      </c>
      <c r="J21">
        <v>81.7987688222021</v>
      </c>
      <c r="K21">
        <v>77.7972817620017</v>
      </c>
      <c r="L21">
        <v>73.7957947018014</v>
      </c>
    </row>
    <row r="22" spans="1:12">
      <c r="A22" t="s">
        <v>89</v>
      </c>
      <c r="B22" t="s">
        <v>75</v>
      </c>
      <c r="C22" t="s">
        <v>83</v>
      </c>
      <c r="D22">
        <v>725</v>
      </c>
      <c r="E22">
        <v>500</v>
      </c>
      <c r="F22">
        <v>315</v>
      </c>
      <c r="G22">
        <v>250</v>
      </c>
      <c r="H22">
        <v>197.5</v>
      </c>
      <c r="I22">
        <v>150</v>
      </c>
      <c r="J22">
        <v>130</v>
      </c>
      <c r="K22">
        <v>126.25</v>
      </c>
      <c r="L22">
        <v>122.5</v>
      </c>
    </row>
    <row r="23" spans="1:12">
      <c r="A23" t="s">
        <v>89</v>
      </c>
      <c r="B23" t="s">
        <v>75</v>
      </c>
      <c r="C23" t="s">
        <v>84</v>
      </c>
      <c r="D23">
        <v>1788.5</v>
      </c>
      <c r="E23">
        <v>1679</v>
      </c>
      <c r="F23">
        <v>1569.5</v>
      </c>
      <c r="G23">
        <v>1496.5</v>
      </c>
      <c r="H23">
        <v>1423.5</v>
      </c>
      <c r="I23">
        <v>1387</v>
      </c>
      <c r="J23">
        <v>1350.5</v>
      </c>
      <c r="K23">
        <v>1359.625</v>
      </c>
      <c r="L23">
        <v>1368.75</v>
      </c>
    </row>
    <row r="24" spans="1:12">
      <c r="A24" t="s">
        <v>89</v>
      </c>
      <c r="B24" t="s">
        <v>75</v>
      </c>
      <c r="C24" t="s">
        <v>85</v>
      </c>
      <c r="D24">
        <v>910</v>
      </c>
      <c r="E24">
        <v>762.272727272727</v>
      </c>
      <c r="F24">
        <v>614.545454545455</v>
      </c>
      <c r="G24">
        <v>561.363636363636</v>
      </c>
      <c r="H24">
        <v>508.181818181818</v>
      </c>
      <c r="I24">
        <v>496.363636363636</v>
      </c>
      <c r="J24">
        <v>484.545454545455</v>
      </c>
      <c r="K24">
        <v>484.545454545455</v>
      </c>
      <c r="L24">
        <v>484.545454545455</v>
      </c>
    </row>
    <row r="25" spans="1:12">
      <c r="A25" t="s">
        <v>89</v>
      </c>
      <c r="B25" t="s">
        <v>75</v>
      </c>
      <c r="C25" t="s">
        <v>86</v>
      </c>
      <c r="D25">
        <v>252</v>
      </c>
      <c r="E25">
        <v>252</v>
      </c>
      <c r="F25">
        <v>252</v>
      </c>
      <c r="G25">
        <v>252</v>
      </c>
      <c r="H25">
        <v>252</v>
      </c>
      <c r="I25">
        <v>252</v>
      </c>
      <c r="J25">
        <v>252</v>
      </c>
      <c r="K25">
        <v>252</v>
      </c>
      <c r="L25">
        <v>252</v>
      </c>
    </row>
    <row r="26" spans="1:12">
      <c r="A26" t="s">
        <v>89</v>
      </c>
      <c r="B26" t="s">
        <v>75</v>
      </c>
      <c r="C26" t="s">
        <v>87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</row>
    <row r="27" spans="1:12">
      <c r="A27" t="s">
        <v>89</v>
      </c>
      <c r="B27" t="s">
        <v>75</v>
      </c>
      <c r="C27" t="s">
        <v>88</v>
      </c>
      <c r="D27">
        <v>102</v>
      </c>
      <c r="E27">
        <v>102</v>
      </c>
      <c r="F27">
        <v>102</v>
      </c>
      <c r="G27">
        <v>102</v>
      </c>
      <c r="H27">
        <v>102</v>
      </c>
      <c r="I27">
        <v>102</v>
      </c>
      <c r="J27">
        <v>102</v>
      </c>
      <c r="K27">
        <v>102</v>
      </c>
      <c r="L27">
        <v>102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H27" sqref="H27"/>
    </sheetView>
  </sheetViews>
  <sheetFormatPr defaultColWidth="9" defaultRowHeight="14"/>
  <cols>
    <col min="1" max="1" width="34.4416666666667" customWidth="1"/>
    <col min="2" max="2" width="14.1083333333333" customWidth="1"/>
  </cols>
  <sheetData>
    <row r="1" spans="1:11">
      <c r="A1" t="s">
        <v>90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91</v>
      </c>
      <c r="B2" s="25" t="s">
        <v>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93</v>
      </c>
      <c r="B3" s="25" t="s">
        <v>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94</v>
      </c>
      <c r="B4" s="25" t="s">
        <v>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95</v>
      </c>
      <c r="B5" s="25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96</v>
      </c>
      <c r="B6" s="25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97</v>
      </c>
      <c r="B7" s="25" t="s">
        <v>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98</v>
      </c>
      <c r="B8" s="25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99</v>
      </c>
      <c r="B9" s="25" t="s">
        <v>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100</v>
      </c>
      <c r="B10" s="25" t="s">
        <v>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101</v>
      </c>
      <c r="B11" s="25" t="s">
        <v>92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102</v>
      </c>
      <c r="B12" s="25" t="s">
        <v>92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103</v>
      </c>
      <c r="B13" s="25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104</v>
      </c>
      <c r="B14" s="25" t="s">
        <v>92</v>
      </c>
      <c r="C14">
        <v>0.0412671140939597</v>
      </c>
      <c r="D14">
        <v>0.0412671140939597</v>
      </c>
      <c r="E14">
        <v>0.0412671140939597</v>
      </c>
      <c r="F14">
        <v>0.0412671140939597</v>
      </c>
      <c r="G14">
        <v>0.0412671140939597</v>
      </c>
      <c r="H14">
        <v>0.0412671140939597</v>
      </c>
      <c r="I14">
        <v>0.0412671140939597</v>
      </c>
      <c r="J14">
        <v>0.0412671140939597</v>
      </c>
      <c r="K14">
        <v>0.0412671140939597</v>
      </c>
    </row>
    <row r="15" spans="1:11">
      <c r="A15" t="s">
        <v>105</v>
      </c>
      <c r="B15" s="25" t="s">
        <v>92</v>
      </c>
      <c r="C15">
        <v>0.0412671140939597</v>
      </c>
      <c r="D15">
        <v>0.0412671140939597</v>
      </c>
      <c r="E15">
        <v>0.0412671140939597</v>
      </c>
      <c r="F15">
        <v>0.0412671140939597</v>
      </c>
      <c r="G15">
        <v>0.0412671140939597</v>
      </c>
      <c r="H15">
        <v>0.0412671140939597</v>
      </c>
      <c r="I15">
        <v>0.0412671140939597</v>
      </c>
      <c r="J15">
        <v>0.0412671140939597</v>
      </c>
      <c r="K15">
        <v>0.0412671140939597</v>
      </c>
    </row>
    <row r="16" spans="1:11">
      <c r="A16" t="s">
        <v>106</v>
      </c>
      <c r="B16" s="25" t="s">
        <v>92</v>
      </c>
      <c r="C16">
        <v>0.0327560656642733</v>
      </c>
      <c r="D16">
        <v>0.0330807217808883</v>
      </c>
      <c r="E16">
        <v>0.0334648523989128</v>
      </c>
      <c r="F16">
        <v>0.0339418936734285</v>
      </c>
      <c r="G16">
        <v>0.0336090261539779</v>
      </c>
      <c r="H16">
        <v>0.0336845729283916</v>
      </c>
      <c r="I16">
        <v>0.0337625763113156</v>
      </c>
      <c r="J16">
        <v>0.0338431581081106</v>
      </c>
      <c r="K16">
        <v>0.0339264483120535</v>
      </c>
    </row>
    <row r="17" spans="1:11">
      <c r="A17" t="s">
        <v>107</v>
      </c>
      <c r="B17" s="25" t="s">
        <v>92</v>
      </c>
      <c r="C17">
        <v>0.554</v>
      </c>
      <c r="D17">
        <v>0.625</v>
      </c>
      <c r="E17">
        <v>0.662</v>
      </c>
      <c r="F17">
        <v>0.681</v>
      </c>
      <c r="G17">
        <v>0.693</v>
      </c>
      <c r="H17">
        <v>0.699</v>
      </c>
      <c r="I17">
        <v>0.696</v>
      </c>
      <c r="J17">
        <v>0.704</v>
      </c>
      <c r="K17">
        <v>0.725</v>
      </c>
    </row>
    <row r="18" spans="1:11">
      <c r="A18" t="s">
        <v>108</v>
      </c>
      <c r="B18" s="25" t="s">
        <v>92</v>
      </c>
      <c r="C18">
        <v>0.554</v>
      </c>
      <c r="D18">
        <v>0.625</v>
      </c>
      <c r="E18">
        <v>0.662</v>
      </c>
      <c r="F18">
        <v>0.681</v>
      </c>
      <c r="G18">
        <v>0.693</v>
      </c>
      <c r="H18">
        <v>0.699</v>
      </c>
      <c r="I18">
        <v>0.696</v>
      </c>
      <c r="J18">
        <v>0.704</v>
      </c>
      <c r="K18">
        <v>0.725</v>
      </c>
    </row>
    <row r="19" spans="1:11">
      <c r="A19" t="s">
        <v>109</v>
      </c>
      <c r="B19" s="25" t="s">
        <v>92</v>
      </c>
      <c r="C19">
        <v>0.0648322147651007</v>
      </c>
      <c r="D19">
        <v>0.0648322147651007</v>
      </c>
      <c r="E19">
        <v>0.0648322147651007</v>
      </c>
      <c r="F19">
        <v>0.0648322147651007</v>
      </c>
      <c r="G19">
        <v>0.0648322147651007</v>
      </c>
      <c r="H19">
        <v>0.0648322147651007</v>
      </c>
      <c r="I19">
        <v>0.0648322147651007</v>
      </c>
      <c r="J19">
        <v>0.0648322147651007</v>
      </c>
      <c r="K19">
        <v>0.0648322147651007</v>
      </c>
    </row>
    <row r="20" spans="1:11">
      <c r="A20" t="s">
        <v>85</v>
      </c>
      <c r="B20" s="25" t="s">
        <v>92</v>
      </c>
      <c r="C20">
        <v>0.130898597194389</v>
      </c>
      <c r="D20">
        <v>0.144522628328134</v>
      </c>
      <c r="E20">
        <v>0.159564659565101</v>
      </c>
      <c r="F20">
        <v>0.176172277494972</v>
      </c>
      <c r="G20">
        <v>0.194508429638221</v>
      </c>
      <c r="H20">
        <v>0.214753023224138</v>
      </c>
      <c r="I20">
        <v>0.237104690370935</v>
      </c>
      <c r="J20">
        <v>0.261782736987229</v>
      </c>
      <c r="K20">
        <v>0.289029294516754</v>
      </c>
    </row>
    <row r="21" spans="1:11">
      <c r="A21" t="s">
        <v>86</v>
      </c>
      <c r="B21" s="25" t="s">
        <v>92</v>
      </c>
      <c r="C21">
        <v>0.09</v>
      </c>
      <c r="D21">
        <v>0.106363636363636</v>
      </c>
      <c r="E21">
        <v>0.122727272727273</v>
      </c>
      <c r="F21">
        <v>0.135</v>
      </c>
      <c r="G21">
        <v>0.135</v>
      </c>
      <c r="H21">
        <v>0.135</v>
      </c>
      <c r="I21">
        <v>0.135</v>
      </c>
      <c r="J21">
        <v>0.135</v>
      </c>
      <c r="K21">
        <v>0.135</v>
      </c>
    </row>
    <row r="22" spans="1:11">
      <c r="A22" t="s">
        <v>87</v>
      </c>
      <c r="B22" s="25" t="s">
        <v>92</v>
      </c>
      <c r="C22">
        <v>0.232258064516129</v>
      </c>
      <c r="D22">
        <v>0.232258064516129</v>
      </c>
      <c r="E22">
        <v>0.232258064516129</v>
      </c>
      <c r="F22">
        <v>0.270967741935484</v>
      </c>
      <c r="G22">
        <v>0.309677419354839</v>
      </c>
      <c r="H22">
        <v>0.309677419354839</v>
      </c>
      <c r="I22">
        <v>0.348387096774194</v>
      </c>
      <c r="J22">
        <v>0.348387096774194</v>
      </c>
      <c r="K22">
        <v>0.348387096774194</v>
      </c>
    </row>
    <row r="23" spans="1:11">
      <c r="A23" t="s">
        <v>88</v>
      </c>
      <c r="B23" s="25" t="s">
        <v>92</v>
      </c>
      <c r="C23">
        <v>0.387640449438202</v>
      </c>
      <c r="D23">
        <v>0.387640449438202</v>
      </c>
      <c r="E23">
        <v>0.387640449438202</v>
      </c>
      <c r="F23">
        <v>0.387640449438202</v>
      </c>
      <c r="G23">
        <v>0.387640449438202</v>
      </c>
      <c r="H23">
        <v>0.387640449438202</v>
      </c>
      <c r="I23">
        <v>0.387640449438202</v>
      </c>
      <c r="J23">
        <v>0.387640449438202</v>
      </c>
      <c r="K23">
        <v>0.387640449438202</v>
      </c>
    </row>
    <row r="24" spans="1:11">
      <c r="A24" t="s">
        <v>110</v>
      </c>
      <c r="B24" s="25" t="s">
        <v>92</v>
      </c>
      <c r="C24">
        <v>0.130898597194389</v>
      </c>
      <c r="D24">
        <v>0.144522628328134</v>
      </c>
      <c r="E24">
        <v>0.159564659565101</v>
      </c>
      <c r="F24">
        <v>0.176172277494972</v>
      </c>
      <c r="G24">
        <v>0.194508429638221</v>
      </c>
      <c r="H24">
        <v>0.214753023224138</v>
      </c>
      <c r="I24">
        <v>0.237104690370935</v>
      </c>
      <c r="J24">
        <v>0.261782736987229</v>
      </c>
      <c r="K24">
        <v>0.289029294516754</v>
      </c>
    </row>
    <row r="25" spans="1:11">
      <c r="A25" t="s">
        <v>111</v>
      </c>
      <c r="B25" s="25" t="s">
        <v>92</v>
      </c>
      <c r="C25">
        <v>0.09</v>
      </c>
      <c r="D25">
        <v>0.106363636363636</v>
      </c>
      <c r="E25">
        <v>0.122727272727273</v>
      </c>
      <c r="F25">
        <v>0.135</v>
      </c>
      <c r="G25">
        <v>0.135</v>
      </c>
      <c r="H25">
        <v>0.135</v>
      </c>
      <c r="I25">
        <v>0.135</v>
      </c>
      <c r="J25">
        <v>0.135</v>
      </c>
      <c r="K25">
        <v>0.135</v>
      </c>
    </row>
    <row r="26" spans="1:11">
      <c r="A26" t="s">
        <v>112</v>
      </c>
      <c r="B26" s="25" t="s">
        <v>92</v>
      </c>
      <c r="C26">
        <v>0.232258064516129</v>
      </c>
      <c r="D26">
        <v>0.232258064516129</v>
      </c>
      <c r="E26">
        <v>0.232258064516129</v>
      </c>
      <c r="F26">
        <v>0.270967741935484</v>
      </c>
      <c r="G26">
        <v>0.309677419354839</v>
      </c>
      <c r="H26">
        <v>0.309677419354839</v>
      </c>
      <c r="I26">
        <v>0.348387096774194</v>
      </c>
      <c r="J26">
        <v>0.348387096774194</v>
      </c>
      <c r="K26">
        <v>0.348387096774194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D13" sqref="D13:L13"/>
    </sheetView>
  </sheetViews>
  <sheetFormatPr defaultColWidth="9" defaultRowHeight="14"/>
  <sheetData>
    <row r="1" spans="1:12">
      <c r="A1" t="s">
        <v>113</v>
      </c>
      <c r="B1" t="s">
        <v>71</v>
      </c>
      <c r="C1" t="s">
        <v>72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spans="1:12">
      <c r="A2" t="s">
        <v>114</v>
      </c>
      <c r="B2" t="s">
        <v>74</v>
      </c>
      <c r="C2" t="s">
        <v>115</v>
      </c>
      <c r="D2">
        <v>0.775</v>
      </c>
      <c r="E2">
        <v>0.775</v>
      </c>
      <c r="F2">
        <v>0.775</v>
      </c>
      <c r="G2">
        <v>0.775</v>
      </c>
      <c r="H2">
        <v>0.775</v>
      </c>
      <c r="I2">
        <v>0.775</v>
      </c>
      <c r="J2">
        <v>0.775</v>
      </c>
      <c r="K2">
        <v>0.775</v>
      </c>
      <c r="L2">
        <v>0.775</v>
      </c>
    </row>
    <row r="3" spans="1:12">
      <c r="A3" t="s">
        <v>114</v>
      </c>
      <c r="B3" t="s">
        <v>89</v>
      </c>
      <c r="C3" t="s">
        <v>115</v>
      </c>
      <c r="D3">
        <v>3e-6</v>
      </c>
      <c r="E3">
        <v>3e-6</v>
      </c>
      <c r="F3">
        <v>3e-6</v>
      </c>
      <c r="G3">
        <v>3e-6</v>
      </c>
      <c r="H3">
        <v>3e-6</v>
      </c>
      <c r="I3">
        <v>3e-6</v>
      </c>
      <c r="J3">
        <v>3e-6</v>
      </c>
      <c r="K3">
        <v>3e-6</v>
      </c>
      <c r="L3">
        <v>3e-6</v>
      </c>
    </row>
    <row r="4" spans="1:12">
      <c r="A4" t="s">
        <v>114</v>
      </c>
      <c r="B4" t="s">
        <v>116</v>
      </c>
      <c r="C4" t="s">
        <v>115</v>
      </c>
      <c r="D4">
        <v>0.167862</v>
      </c>
      <c r="E4">
        <v>0.189375</v>
      </c>
      <c r="F4">
        <v>0.200586</v>
      </c>
      <c r="G4">
        <v>0.206343</v>
      </c>
      <c r="H4">
        <v>0.209979</v>
      </c>
      <c r="I4">
        <v>0.211797</v>
      </c>
      <c r="J4">
        <v>0.210888</v>
      </c>
      <c r="K4">
        <v>0.213312</v>
      </c>
      <c r="L4">
        <v>0.219675</v>
      </c>
    </row>
    <row r="5" spans="1:12">
      <c r="A5" t="s">
        <v>117</v>
      </c>
      <c r="B5" t="s">
        <v>74</v>
      </c>
      <c r="C5" t="s">
        <v>118</v>
      </c>
      <c r="D5">
        <v>0.48356</v>
      </c>
      <c r="E5">
        <v>0.48356</v>
      </c>
      <c r="F5">
        <v>0.48356</v>
      </c>
      <c r="G5">
        <v>0.48356</v>
      </c>
      <c r="H5">
        <v>0.48356</v>
      </c>
      <c r="I5">
        <v>0.48356</v>
      </c>
      <c r="J5">
        <v>0.48356</v>
      </c>
      <c r="K5">
        <v>0.48356</v>
      </c>
      <c r="L5">
        <v>0.48356</v>
      </c>
    </row>
    <row r="6" spans="1:12">
      <c r="A6" t="s">
        <v>117</v>
      </c>
      <c r="B6" t="s">
        <v>89</v>
      </c>
      <c r="C6" t="s">
        <v>118</v>
      </c>
      <c r="D6">
        <v>0.193424</v>
      </c>
      <c r="E6">
        <v>0.193424</v>
      </c>
      <c r="F6">
        <v>0.193424</v>
      </c>
      <c r="G6">
        <v>0.193424</v>
      </c>
      <c r="H6">
        <v>0.193424</v>
      </c>
      <c r="I6">
        <v>0.193424</v>
      </c>
      <c r="J6">
        <v>0.193424</v>
      </c>
      <c r="K6">
        <v>0.193424</v>
      </c>
      <c r="L6">
        <v>0.193424</v>
      </c>
    </row>
    <row r="7" spans="1:12">
      <c r="A7" t="s">
        <v>117</v>
      </c>
      <c r="B7" t="s">
        <v>116</v>
      </c>
      <c r="C7" t="s">
        <v>118</v>
      </c>
      <c r="D7">
        <v>0.173402</v>
      </c>
      <c r="E7">
        <v>0.195625</v>
      </c>
      <c r="F7">
        <v>0.207206</v>
      </c>
      <c r="G7">
        <v>0.213153</v>
      </c>
      <c r="H7">
        <v>0.216909</v>
      </c>
      <c r="I7">
        <v>0.218787</v>
      </c>
      <c r="J7">
        <v>0.217848</v>
      </c>
      <c r="K7">
        <v>0.220352</v>
      </c>
      <c r="L7">
        <v>0.226925</v>
      </c>
    </row>
    <row r="8" spans="1:12">
      <c r="A8" t="s">
        <v>119</v>
      </c>
      <c r="B8" t="s">
        <v>74</v>
      </c>
      <c r="C8" t="s">
        <v>118</v>
      </c>
      <c r="D8">
        <v>0.722828</v>
      </c>
      <c r="E8">
        <v>0.6324745</v>
      </c>
      <c r="F8">
        <v>0.542121</v>
      </c>
      <c r="G8">
        <v>0.474355875</v>
      </c>
      <c r="H8">
        <v>0.40659075</v>
      </c>
      <c r="I8">
        <v>0.385795375</v>
      </c>
      <c r="J8">
        <v>0.365</v>
      </c>
      <c r="K8">
        <v>0.33497153125</v>
      </c>
      <c r="L8">
        <v>0.3049430625</v>
      </c>
    </row>
    <row r="9" spans="1:12">
      <c r="A9" t="s">
        <v>119</v>
      </c>
      <c r="B9" t="s">
        <v>89</v>
      </c>
      <c r="C9" t="s">
        <v>118</v>
      </c>
      <c r="D9">
        <v>0.240942666666667</v>
      </c>
      <c r="E9">
        <v>0.210824833333333</v>
      </c>
      <c r="F9">
        <v>0.180707</v>
      </c>
      <c r="G9">
        <v>0.158118625</v>
      </c>
      <c r="H9">
        <v>0.13553025</v>
      </c>
      <c r="I9">
        <v>0.128598458333333</v>
      </c>
      <c r="J9">
        <v>0.121666666666667</v>
      </c>
      <c r="K9">
        <v>0.111657177083333</v>
      </c>
      <c r="L9">
        <v>0.1016476875</v>
      </c>
    </row>
    <row r="10" spans="1:12">
      <c r="A10" t="s">
        <v>119</v>
      </c>
      <c r="B10" t="s">
        <v>116</v>
      </c>
      <c r="C10" t="s">
        <v>118</v>
      </c>
      <c r="D10">
        <v>0.891453</v>
      </c>
      <c r="E10">
        <v>0.8702071875</v>
      </c>
      <c r="F10">
        <v>0.84032925</v>
      </c>
      <c r="G10">
        <v>0.8228795625</v>
      </c>
      <c r="H10">
        <v>0.80367525</v>
      </c>
      <c r="I10">
        <v>0.7858695375</v>
      </c>
      <c r="J10">
        <v>0.76604445</v>
      </c>
      <c r="K10">
        <v>0.727614225</v>
      </c>
      <c r="L10">
        <v>0.691845</v>
      </c>
    </row>
    <row r="11" spans="1:12">
      <c r="A11" t="s">
        <v>120</v>
      </c>
      <c r="B11" t="s">
        <v>74</v>
      </c>
      <c r="C11" t="s">
        <v>118</v>
      </c>
      <c r="D11">
        <v>0.722828</v>
      </c>
      <c r="E11">
        <v>0.6324745</v>
      </c>
      <c r="F11">
        <v>0.542121</v>
      </c>
      <c r="G11">
        <v>0.474355875</v>
      </c>
      <c r="H11">
        <v>0.40659075</v>
      </c>
      <c r="I11">
        <v>0.385795375</v>
      </c>
      <c r="J11">
        <v>0.365</v>
      </c>
      <c r="K11">
        <v>0.33497153125</v>
      </c>
      <c r="L11">
        <v>0.3049430625</v>
      </c>
    </row>
    <row r="12" spans="1:12">
      <c r="A12" t="s">
        <v>120</v>
      </c>
      <c r="B12" t="s">
        <v>89</v>
      </c>
      <c r="C12" t="s">
        <v>118</v>
      </c>
      <c r="D12">
        <v>0.240942666666667</v>
      </c>
      <c r="E12">
        <v>0.210824833333333</v>
      </c>
      <c r="F12">
        <v>0.180707</v>
      </c>
      <c r="G12">
        <v>0.158118625</v>
      </c>
      <c r="H12">
        <v>0.13553025</v>
      </c>
      <c r="I12">
        <v>0.128598458333333</v>
      </c>
      <c r="J12">
        <v>0.121666666666667</v>
      </c>
      <c r="K12">
        <v>0.111657177083333</v>
      </c>
      <c r="L12">
        <v>0.1016476875</v>
      </c>
    </row>
    <row r="13" spans="1:12">
      <c r="A13" t="s">
        <v>120</v>
      </c>
      <c r="B13" t="s">
        <v>116</v>
      </c>
      <c r="C13" t="s">
        <v>118</v>
      </c>
      <c r="D13">
        <v>3.615078</v>
      </c>
      <c r="E13">
        <v>2.7518203125</v>
      </c>
      <c r="F13">
        <v>2.006493</v>
      </c>
      <c r="G13">
        <v>1.9531940625</v>
      </c>
      <c r="H13">
        <v>1.77478425</v>
      </c>
      <c r="I13">
        <v>1.6840333125</v>
      </c>
      <c r="J13">
        <v>1.591263</v>
      </c>
      <c r="K13">
        <v>1.552176</v>
      </c>
      <c r="L13">
        <v>1.51575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F13" sqref="F13"/>
    </sheetView>
  </sheetViews>
  <sheetFormatPr defaultColWidth="9" defaultRowHeight="14"/>
  <cols>
    <col min="3" max="3" width="15.6666666666667" customWidth="1"/>
  </cols>
  <sheetData>
    <row r="1" spans="1:13">
      <c r="A1" s="4" t="s">
        <v>113</v>
      </c>
      <c r="B1" s="4" t="s">
        <v>71</v>
      </c>
      <c r="C1" s="4" t="s">
        <v>72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spans="1:13">
      <c r="A2" s="4" t="s">
        <v>114</v>
      </c>
      <c r="B2" s="4" t="s">
        <v>74</v>
      </c>
      <c r="C2" s="4" t="s">
        <v>115</v>
      </c>
      <c r="D2">
        <v>0.775</v>
      </c>
      <c r="E2">
        <v>0.775</v>
      </c>
      <c r="F2">
        <v>0.775</v>
      </c>
      <c r="G2">
        <v>0.775</v>
      </c>
      <c r="H2">
        <v>0.775</v>
      </c>
      <c r="I2">
        <v>0.775</v>
      </c>
      <c r="J2">
        <v>0.775</v>
      </c>
      <c r="K2">
        <v>0.775</v>
      </c>
      <c r="L2">
        <v>0.775</v>
      </c>
    </row>
    <row r="3" spans="1:13">
      <c r="A3" s="4" t="s">
        <v>114</v>
      </c>
      <c r="B3" s="4" t="s">
        <v>89</v>
      </c>
      <c r="C3" s="4" t="s">
        <v>115</v>
      </c>
      <c r="D3">
        <v>3e-6</v>
      </c>
      <c r="E3">
        <v>3e-6</v>
      </c>
      <c r="F3">
        <v>3e-6</v>
      </c>
      <c r="G3">
        <v>3e-6</v>
      </c>
      <c r="H3">
        <v>3e-6</v>
      </c>
      <c r="I3">
        <v>3e-6</v>
      </c>
      <c r="J3">
        <v>3e-6</v>
      </c>
      <c r="K3">
        <v>3e-6</v>
      </c>
      <c r="L3">
        <v>3e-6</v>
      </c>
    </row>
    <row r="4" spans="1:13">
      <c r="A4" s="4" t="s">
        <v>114</v>
      </c>
      <c r="B4" s="4" t="s">
        <v>116</v>
      </c>
      <c r="C4" s="4" t="s">
        <v>115</v>
      </c>
      <c r="D4">
        <v>0.167862</v>
      </c>
      <c r="E4">
        <v>0.189375</v>
      </c>
      <c r="F4">
        <v>0.200586</v>
      </c>
      <c r="G4">
        <v>0.206343</v>
      </c>
      <c r="H4">
        <v>0.209979</v>
      </c>
      <c r="I4">
        <v>0.211797</v>
      </c>
      <c r="J4">
        <v>0.210888</v>
      </c>
      <c r="K4">
        <v>0.213312</v>
      </c>
      <c r="L4">
        <v>0.219675</v>
      </c>
      <c r="M4" s="26"/>
    </row>
    <row r="5" spans="1:13">
      <c r="A5" s="4" t="s">
        <v>117</v>
      </c>
      <c r="B5" s="4" t="s">
        <v>74</v>
      </c>
      <c r="C5" s="4" t="s">
        <v>118</v>
      </c>
      <c r="D5">
        <v>0.48356</v>
      </c>
      <c r="E5">
        <v>0.48356</v>
      </c>
      <c r="F5">
        <v>0.48356</v>
      </c>
      <c r="G5">
        <v>0.48356</v>
      </c>
      <c r="H5">
        <v>0.48356</v>
      </c>
      <c r="I5">
        <v>0.48356</v>
      </c>
      <c r="J5">
        <v>0.48356</v>
      </c>
      <c r="K5">
        <v>0.48356</v>
      </c>
      <c r="L5">
        <v>0.48356</v>
      </c>
    </row>
    <row r="6" spans="1:13">
      <c r="A6" s="4" t="s">
        <v>117</v>
      </c>
      <c r="B6" s="4" t="s">
        <v>89</v>
      </c>
      <c r="C6" s="4" t="s">
        <v>118</v>
      </c>
      <c r="D6">
        <v>0.193424</v>
      </c>
      <c r="E6">
        <v>0.193424</v>
      </c>
      <c r="F6">
        <v>0.193424</v>
      </c>
      <c r="G6">
        <v>0.193424</v>
      </c>
      <c r="H6">
        <v>0.193424</v>
      </c>
      <c r="I6">
        <v>0.193424</v>
      </c>
      <c r="J6">
        <v>0.193424</v>
      </c>
      <c r="K6">
        <v>0.193424</v>
      </c>
      <c r="L6">
        <v>0.193424</v>
      </c>
    </row>
    <row r="7" spans="1:13">
      <c r="A7" s="4" t="s">
        <v>117</v>
      </c>
      <c r="B7" s="4" t="s">
        <v>116</v>
      </c>
      <c r="C7" s="4" t="s">
        <v>118</v>
      </c>
      <c r="D7">
        <v>0.173402</v>
      </c>
      <c r="E7">
        <v>0.195625</v>
      </c>
      <c r="F7">
        <v>0.207206</v>
      </c>
      <c r="G7">
        <v>0.213153</v>
      </c>
      <c r="H7">
        <v>0.216909</v>
      </c>
      <c r="I7">
        <v>0.218787</v>
      </c>
      <c r="J7">
        <v>0.217848</v>
      </c>
      <c r="K7">
        <v>0.220352</v>
      </c>
      <c r="L7">
        <v>0.226925</v>
      </c>
    </row>
    <row r="8" spans="1:13">
      <c r="A8" s="4" t="s">
        <v>119</v>
      </c>
      <c r="B8" s="4" t="s">
        <v>74</v>
      </c>
      <c r="C8" s="4" t="s">
        <v>118</v>
      </c>
      <c r="D8">
        <v>0.722828</v>
      </c>
      <c r="E8">
        <v>0.6324745</v>
      </c>
      <c r="F8">
        <v>0.542121</v>
      </c>
      <c r="G8">
        <v>0.474355875</v>
      </c>
      <c r="H8">
        <v>0.40659075</v>
      </c>
      <c r="I8">
        <v>0.385795375</v>
      </c>
      <c r="J8">
        <v>0.365</v>
      </c>
      <c r="K8">
        <v>0.33497153125</v>
      </c>
      <c r="L8">
        <v>0.3049430625</v>
      </c>
    </row>
    <row r="9" spans="1:13">
      <c r="A9" s="4" t="s">
        <v>119</v>
      </c>
      <c r="B9" s="4" t="s">
        <v>89</v>
      </c>
      <c r="C9" s="4" t="s">
        <v>118</v>
      </c>
      <c r="D9">
        <v>0.240942666666667</v>
      </c>
      <c r="E9">
        <v>0.210824833333333</v>
      </c>
      <c r="F9">
        <v>0.180707</v>
      </c>
      <c r="G9">
        <v>0.158118625</v>
      </c>
      <c r="H9">
        <v>0.13553025</v>
      </c>
      <c r="I9">
        <v>0.128598458333333</v>
      </c>
      <c r="J9">
        <v>0.121666666666667</v>
      </c>
      <c r="K9">
        <v>0.111657177083333</v>
      </c>
      <c r="L9">
        <v>0.1016476875</v>
      </c>
    </row>
    <row r="10" spans="1:13">
      <c r="A10" s="4" t="s">
        <v>119</v>
      </c>
      <c r="B10" s="4" t="s">
        <v>116</v>
      </c>
      <c r="C10" s="4" t="s">
        <v>118</v>
      </c>
      <c r="D10">
        <v>0.891453</v>
      </c>
      <c r="E10">
        <v>0.8702071875</v>
      </c>
      <c r="F10">
        <v>0.84032925</v>
      </c>
      <c r="G10">
        <v>0.8228795625</v>
      </c>
      <c r="H10">
        <v>0.80367525</v>
      </c>
      <c r="I10">
        <v>0.7858695375</v>
      </c>
      <c r="J10">
        <v>0.76604445</v>
      </c>
      <c r="K10">
        <v>0.727614225</v>
      </c>
      <c r="L10">
        <v>0.691845</v>
      </c>
    </row>
    <row r="11" spans="1:13">
      <c r="A11" s="4" t="s">
        <v>120</v>
      </c>
      <c r="B11" s="4" t="s">
        <v>74</v>
      </c>
      <c r="C11" s="4" t="s">
        <v>118</v>
      </c>
      <c r="D11">
        <v>0.722828</v>
      </c>
      <c r="E11">
        <v>0.6324745</v>
      </c>
      <c r="F11">
        <v>0.542121</v>
      </c>
      <c r="G11">
        <v>0.474355875</v>
      </c>
      <c r="H11">
        <v>0.40659075</v>
      </c>
      <c r="I11">
        <v>0.385795375</v>
      </c>
      <c r="J11">
        <v>0.365</v>
      </c>
      <c r="K11">
        <v>0.33497153125</v>
      </c>
      <c r="L11">
        <v>0.3049430625</v>
      </c>
    </row>
    <row r="12" spans="1:13">
      <c r="A12" s="4" t="s">
        <v>120</v>
      </c>
      <c r="B12" s="4" t="s">
        <v>89</v>
      </c>
      <c r="C12" s="4" t="s">
        <v>118</v>
      </c>
      <c r="D12">
        <v>0.240942666666667</v>
      </c>
      <c r="E12">
        <v>0.210824833333333</v>
      </c>
      <c r="F12">
        <v>0.180707</v>
      </c>
      <c r="G12">
        <v>0.158118625</v>
      </c>
      <c r="H12">
        <v>0.13553025</v>
      </c>
      <c r="I12">
        <v>0.128598458333333</v>
      </c>
      <c r="J12">
        <v>0.121666666666667</v>
      </c>
      <c r="K12">
        <v>0.111657177083333</v>
      </c>
      <c r="L12">
        <v>0.1016476875</v>
      </c>
    </row>
    <row r="13" spans="1:13">
      <c r="A13" s="4" t="s">
        <v>120</v>
      </c>
      <c r="B13" s="4" t="s">
        <v>116</v>
      </c>
      <c r="C13" s="4" t="s">
        <v>118</v>
      </c>
      <c r="D13">
        <v>3.615078</v>
      </c>
      <c r="E13">
        <v>3.1234921875</v>
      </c>
      <c r="F13">
        <v>2.62327425</v>
      </c>
      <c r="G13">
        <v>2.4020690625</v>
      </c>
      <c r="H13">
        <v>2.17910925</v>
      </c>
      <c r="I13">
        <v>2.0660833125</v>
      </c>
      <c r="J13">
        <v>1.951038</v>
      </c>
      <c r="K13">
        <v>1.902501</v>
      </c>
      <c r="L13">
        <v>1.856625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I21" sqref="I21"/>
    </sheetView>
  </sheetViews>
  <sheetFormatPr defaultColWidth="9" defaultRowHeight="14"/>
  <sheetData>
    <row r="1" spans="1:12">
      <c r="A1" t="s">
        <v>113</v>
      </c>
      <c r="B1" t="s">
        <v>71</v>
      </c>
      <c r="C1" t="s">
        <v>72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spans="1:12">
      <c r="A2" t="s">
        <v>114</v>
      </c>
      <c r="B2" t="s">
        <v>74</v>
      </c>
      <c r="C2" t="s">
        <v>115</v>
      </c>
      <c r="D2">
        <v>0.775</v>
      </c>
      <c r="E2">
        <v>0.775</v>
      </c>
      <c r="F2">
        <v>0.775</v>
      </c>
      <c r="G2">
        <v>0.775</v>
      </c>
      <c r="H2">
        <v>0.775</v>
      </c>
      <c r="I2">
        <v>0.775</v>
      </c>
      <c r="J2">
        <v>0.775</v>
      </c>
      <c r="K2">
        <v>0.775</v>
      </c>
      <c r="L2">
        <v>0.775</v>
      </c>
    </row>
    <row r="3" spans="1:12">
      <c r="A3" t="s">
        <v>114</v>
      </c>
      <c r="B3" t="s">
        <v>89</v>
      </c>
      <c r="C3" t="s">
        <v>115</v>
      </c>
      <c r="D3">
        <v>3e-6</v>
      </c>
      <c r="E3">
        <v>3e-6</v>
      </c>
      <c r="F3">
        <v>3e-6</v>
      </c>
      <c r="G3">
        <v>3e-6</v>
      </c>
      <c r="H3">
        <v>3e-6</v>
      </c>
      <c r="I3">
        <v>3e-6</v>
      </c>
      <c r="J3">
        <v>3e-6</v>
      </c>
      <c r="K3">
        <v>3e-6</v>
      </c>
      <c r="L3">
        <v>3e-6</v>
      </c>
    </row>
    <row r="4" spans="1:12">
      <c r="A4" t="s">
        <v>114</v>
      </c>
      <c r="B4" t="s">
        <v>116</v>
      </c>
      <c r="C4" t="s">
        <v>115</v>
      </c>
      <c r="D4">
        <v>0.167862</v>
      </c>
      <c r="E4">
        <v>0.189375</v>
      </c>
      <c r="F4">
        <v>0.200586</v>
      </c>
      <c r="G4">
        <v>0.206343</v>
      </c>
      <c r="H4">
        <v>0.209979</v>
      </c>
      <c r="I4">
        <v>0.211797</v>
      </c>
      <c r="J4">
        <v>0.210888</v>
      </c>
      <c r="K4">
        <v>0.213312</v>
      </c>
      <c r="L4">
        <v>0.219675</v>
      </c>
    </row>
    <row r="5" spans="1:12">
      <c r="A5" t="s">
        <v>117</v>
      </c>
      <c r="B5" t="s">
        <v>74</v>
      </c>
      <c r="C5" t="s">
        <v>118</v>
      </c>
      <c r="D5">
        <v>0.48356</v>
      </c>
      <c r="E5">
        <v>0.48356</v>
      </c>
      <c r="F5">
        <v>0.48356</v>
      </c>
      <c r="G5">
        <v>0.48356</v>
      </c>
      <c r="H5">
        <v>0.48356</v>
      </c>
      <c r="I5">
        <v>0.48356</v>
      </c>
      <c r="J5">
        <v>0.48356</v>
      </c>
      <c r="K5">
        <v>0.48356</v>
      </c>
      <c r="L5">
        <v>0.48356</v>
      </c>
    </row>
    <row r="6" spans="1:12">
      <c r="A6" t="s">
        <v>117</v>
      </c>
      <c r="B6" t="s">
        <v>89</v>
      </c>
      <c r="C6" t="s">
        <v>118</v>
      </c>
      <c r="D6">
        <v>0.193424</v>
      </c>
      <c r="E6">
        <v>0.193424</v>
      </c>
      <c r="F6">
        <v>0.193424</v>
      </c>
      <c r="G6">
        <v>0.193424</v>
      </c>
      <c r="H6">
        <v>0.193424</v>
      </c>
      <c r="I6">
        <v>0.193424</v>
      </c>
      <c r="J6">
        <v>0.193424</v>
      </c>
      <c r="K6">
        <v>0.193424</v>
      </c>
      <c r="L6">
        <v>0.193424</v>
      </c>
    </row>
    <row r="7" spans="1:12">
      <c r="A7" t="s">
        <v>117</v>
      </c>
      <c r="B7" t="s">
        <v>116</v>
      </c>
      <c r="C7" t="s">
        <v>118</v>
      </c>
      <c r="D7">
        <v>0.173402</v>
      </c>
      <c r="E7">
        <v>0.195625</v>
      </c>
      <c r="F7">
        <v>0.207206</v>
      </c>
      <c r="G7">
        <v>0.213153</v>
      </c>
      <c r="H7">
        <v>0.216909</v>
      </c>
      <c r="I7">
        <v>0.218787</v>
      </c>
      <c r="J7">
        <v>0.217848</v>
      </c>
      <c r="K7">
        <v>0.220352</v>
      </c>
      <c r="L7">
        <v>0.226925</v>
      </c>
    </row>
    <row r="8" spans="1:12">
      <c r="A8" t="s">
        <v>119</v>
      </c>
      <c r="B8" t="s">
        <v>74</v>
      </c>
      <c r="C8" t="s">
        <v>118</v>
      </c>
      <c r="D8">
        <v>0.722828</v>
      </c>
      <c r="E8">
        <v>0.6324745</v>
      </c>
      <c r="F8">
        <v>0.542121</v>
      </c>
      <c r="G8">
        <v>0.474355875</v>
      </c>
      <c r="H8">
        <v>0.40659075</v>
      </c>
      <c r="I8">
        <v>0.385795375</v>
      </c>
      <c r="J8">
        <v>0.365</v>
      </c>
      <c r="K8">
        <v>0.33497153125</v>
      </c>
      <c r="L8">
        <v>0.3049430625</v>
      </c>
    </row>
    <row r="9" spans="1:12">
      <c r="A9" t="s">
        <v>119</v>
      </c>
      <c r="B9" t="s">
        <v>89</v>
      </c>
      <c r="C9" t="s">
        <v>118</v>
      </c>
      <c r="D9">
        <v>0.240942666666667</v>
      </c>
      <c r="E9">
        <v>0.210824833333333</v>
      </c>
      <c r="F9">
        <v>0.180707</v>
      </c>
      <c r="G9">
        <v>0.158118625</v>
      </c>
      <c r="H9">
        <v>0.13553025</v>
      </c>
      <c r="I9">
        <v>0.128598458333333</v>
      </c>
      <c r="J9">
        <v>0.121666666666667</v>
      </c>
      <c r="K9">
        <v>0.111657177083333</v>
      </c>
      <c r="L9">
        <v>0.1016476875</v>
      </c>
    </row>
    <row r="10" spans="1:12">
      <c r="A10" t="s">
        <v>119</v>
      </c>
      <c r="B10" t="s">
        <v>116</v>
      </c>
      <c r="C10" t="s">
        <v>118</v>
      </c>
      <c r="D10">
        <v>0.891453</v>
      </c>
      <c r="E10">
        <v>0.8702071875</v>
      </c>
      <c r="F10">
        <v>0.84032925</v>
      </c>
      <c r="G10">
        <v>0.8228795625</v>
      </c>
      <c r="H10">
        <v>0.80367525</v>
      </c>
      <c r="I10">
        <v>0.7858695375</v>
      </c>
      <c r="J10">
        <v>0.76604445</v>
      </c>
      <c r="K10">
        <v>0.727614225</v>
      </c>
      <c r="L10">
        <v>0.691845</v>
      </c>
    </row>
    <row r="11" spans="1:12">
      <c r="A11" t="s">
        <v>120</v>
      </c>
      <c r="B11" t="s">
        <v>74</v>
      </c>
      <c r="C11" t="s">
        <v>118</v>
      </c>
      <c r="D11">
        <v>0.722828</v>
      </c>
      <c r="E11">
        <v>0.6324745</v>
      </c>
      <c r="F11">
        <v>0.542121</v>
      </c>
      <c r="G11">
        <v>0.474355875</v>
      </c>
      <c r="H11">
        <v>0.40659075</v>
      </c>
      <c r="I11">
        <v>0.385795375</v>
      </c>
      <c r="J11">
        <v>0.365</v>
      </c>
      <c r="K11">
        <v>0.33497153125</v>
      </c>
      <c r="L11">
        <v>0.3049430625</v>
      </c>
    </row>
    <row r="12" spans="1:12">
      <c r="A12" t="s">
        <v>120</v>
      </c>
      <c r="B12" t="s">
        <v>89</v>
      </c>
      <c r="C12" t="s">
        <v>118</v>
      </c>
      <c r="D12">
        <v>0.240942666666667</v>
      </c>
      <c r="E12">
        <v>0.210824833333333</v>
      </c>
      <c r="F12">
        <v>0.180707</v>
      </c>
      <c r="G12">
        <v>0.158118625</v>
      </c>
      <c r="H12">
        <v>0.13553025</v>
      </c>
      <c r="I12">
        <v>0.128598458333333</v>
      </c>
      <c r="J12">
        <v>0.121666666666667</v>
      </c>
      <c r="K12">
        <v>0.111657177083333</v>
      </c>
      <c r="L12">
        <v>0.1016476875</v>
      </c>
    </row>
    <row r="13" spans="1:12">
      <c r="A13" t="s">
        <v>120</v>
      </c>
      <c r="B13" t="s">
        <v>116</v>
      </c>
      <c r="C13" t="s">
        <v>118</v>
      </c>
      <c r="D13">
        <v>3.615078</v>
      </c>
      <c r="E13">
        <v>3.4951640625</v>
      </c>
      <c r="F13">
        <v>3.2400555</v>
      </c>
      <c r="G13">
        <v>2.8509440625</v>
      </c>
      <c r="H13">
        <v>2.58343425</v>
      </c>
      <c r="I13">
        <v>2.4481333125</v>
      </c>
      <c r="J13">
        <v>2.310813</v>
      </c>
      <c r="K13">
        <v>2.252826</v>
      </c>
      <c r="L13">
        <v>2.1975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H17" sqref="H17"/>
    </sheetView>
  </sheetViews>
  <sheetFormatPr defaultColWidth="9" defaultRowHeight="14" outlineLevelCol="6"/>
  <sheetData>
    <row r="1" spans="1:7">
      <c r="A1" t="s">
        <v>73</v>
      </c>
      <c r="B1" t="s">
        <v>72</v>
      </c>
      <c r="C1">
        <v>2020</v>
      </c>
      <c r="D1">
        <v>2030</v>
      </c>
      <c r="E1">
        <v>2040</v>
      </c>
      <c r="F1">
        <v>2050</v>
      </c>
      <c r="G1">
        <v>2060</v>
      </c>
    </row>
    <row r="2" spans="1:7">
      <c r="A2" t="s">
        <v>76</v>
      </c>
      <c r="B2" t="s">
        <v>121</v>
      </c>
      <c r="C2">
        <v>25</v>
      </c>
      <c r="D2">
        <v>25</v>
      </c>
      <c r="E2">
        <v>25</v>
      </c>
      <c r="F2">
        <v>25</v>
      </c>
      <c r="G2">
        <v>25</v>
      </c>
    </row>
    <row r="3" spans="1:7">
      <c r="A3" t="s">
        <v>77</v>
      </c>
      <c r="B3" t="s">
        <v>121</v>
      </c>
      <c r="C3">
        <v>25</v>
      </c>
      <c r="D3">
        <v>25</v>
      </c>
      <c r="E3">
        <v>25</v>
      </c>
      <c r="F3">
        <v>25</v>
      </c>
      <c r="G3">
        <v>25</v>
      </c>
    </row>
    <row r="4" spans="1:7">
      <c r="A4" t="s">
        <v>78</v>
      </c>
      <c r="B4" t="s">
        <v>121</v>
      </c>
      <c r="C4">
        <v>30</v>
      </c>
      <c r="D4">
        <v>30</v>
      </c>
      <c r="E4">
        <v>30</v>
      </c>
      <c r="F4">
        <v>30</v>
      </c>
      <c r="G4">
        <v>30</v>
      </c>
    </row>
    <row r="5" spans="1:7">
      <c r="A5" t="s">
        <v>79</v>
      </c>
      <c r="B5" t="s">
        <v>121</v>
      </c>
      <c r="C5">
        <v>40</v>
      </c>
      <c r="D5">
        <v>40</v>
      </c>
      <c r="E5">
        <v>40</v>
      </c>
      <c r="F5">
        <v>40</v>
      </c>
      <c r="G5">
        <v>40</v>
      </c>
    </row>
    <row r="6" spans="1:7">
      <c r="A6" t="s">
        <v>80</v>
      </c>
      <c r="B6" t="s">
        <v>121</v>
      </c>
      <c r="C6">
        <v>5</v>
      </c>
      <c r="D6">
        <v>6</v>
      </c>
      <c r="E6">
        <v>7</v>
      </c>
      <c r="F6">
        <v>8</v>
      </c>
      <c r="G6">
        <v>9</v>
      </c>
    </row>
    <row r="7" spans="1:7">
      <c r="A7" t="s">
        <v>81</v>
      </c>
      <c r="B7" t="s">
        <v>121</v>
      </c>
      <c r="C7">
        <f>IF(C24/C27&gt;20,20,C24/C27)</f>
        <v>12.5</v>
      </c>
      <c r="D7">
        <f t="shared" ref="D7:G7" si="0">IF(D24/D27&gt;20,20,D24/D27)</f>
        <v>12.5</v>
      </c>
      <c r="E7">
        <f t="shared" si="0"/>
        <v>12.5</v>
      </c>
      <c r="F7">
        <f t="shared" si="0"/>
        <v>12.5</v>
      </c>
      <c r="G7">
        <f t="shared" si="0"/>
        <v>12.5</v>
      </c>
    </row>
    <row r="8" spans="1:7">
      <c r="A8" t="s">
        <v>82</v>
      </c>
      <c r="B8" t="s">
        <v>121</v>
      </c>
      <c r="C8">
        <v>7.5</v>
      </c>
      <c r="D8">
        <v>7.8</v>
      </c>
      <c r="E8">
        <v>8.1</v>
      </c>
      <c r="F8">
        <v>8.25</v>
      </c>
      <c r="G8">
        <v>8.33</v>
      </c>
    </row>
    <row r="9" spans="1:7">
      <c r="A9" t="s">
        <v>83</v>
      </c>
      <c r="B9" t="s">
        <v>121</v>
      </c>
      <c r="C9">
        <v>3.33</v>
      </c>
      <c r="D9">
        <v>5</v>
      </c>
      <c r="E9">
        <v>5.83</v>
      </c>
      <c r="F9">
        <v>6.4</v>
      </c>
      <c r="G9">
        <v>6.6</v>
      </c>
    </row>
    <row r="10" spans="1:7">
      <c r="A10" t="s">
        <v>84</v>
      </c>
      <c r="B10" t="s">
        <v>121</v>
      </c>
      <c r="C10">
        <v>40</v>
      </c>
      <c r="D10">
        <v>40</v>
      </c>
      <c r="E10">
        <v>40</v>
      </c>
      <c r="F10">
        <v>40</v>
      </c>
      <c r="G10">
        <v>40</v>
      </c>
    </row>
    <row r="11" spans="1:7">
      <c r="A11" t="s">
        <v>85</v>
      </c>
      <c r="B11" t="s">
        <v>121</v>
      </c>
      <c r="C11">
        <v>30</v>
      </c>
      <c r="D11">
        <v>30</v>
      </c>
      <c r="E11">
        <v>30</v>
      </c>
      <c r="F11">
        <v>30</v>
      </c>
      <c r="G11">
        <v>30</v>
      </c>
    </row>
    <row r="12" spans="1:7">
      <c r="A12" t="s">
        <v>86</v>
      </c>
      <c r="B12" t="s">
        <v>121</v>
      </c>
      <c r="C12">
        <v>25</v>
      </c>
      <c r="D12">
        <v>25</v>
      </c>
      <c r="E12">
        <v>25</v>
      </c>
      <c r="F12">
        <v>25</v>
      </c>
      <c r="G12">
        <v>25</v>
      </c>
    </row>
    <row r="13" spans="1:7">
      <c r="A13" t="s">
        <v>87</v>
      </c>
      <c r="B13" t="s">
        <v>121</v>
      </c>
      <c r="C13">
        <v>25</v>
      </c>
      <c r="D13">
        <v>25</v>
      </c>
      <c r="E13">
        <v>25</v>
      </c>
      <c r="F13">
        <v>25</v>
      </c>
      <c r="G13">
        <v>25</v>
      </c>
    </row>
    <row r="14" spans="1:7">
      <c r="A14" t="s">
        <v>88</v>
      </c>
      <c r="B14" t="s">
        <v>121</v>
      </c>
      <c r="C14">
        <v>10</v>
      </c>
      <c r="D14">
        <v>10</v>
      </c>
      <c r="E14">
        <v>10</v>
      </c>
      <c r="F14">
        <v>10</v>
      </c>
      <c r="G14">
        <v>10</v>
      </c>
    </row>
    <row r="15" spans="1:7">
      <c r="A15" s="24" t="s">
        <v>122</v>
      </c>
      <c r="B15" t="s">
        <v>121</v>
      </c>
      <c r="C15">
        <v>25</v>
      </c>
      <c r="D15">
        <v>25</v>
      </c>
      <c r="E15">
        <v>25</v>
      </c>
      <c r="F15">
        <v>25</v>
      </c>
      <c r="G15">
        <v>25</v>
      </c>
    </row>
    <row r="16" spans="1:7">
      <c r="A16" s="24" t="s">
        <v>123</v>
      </c>
      <c r="B16" t="s">
        <v>121</v>
      </c>
      <c r="C16">
        <v>25</v>
      </c>
      <c r="D16">
        <v>25</v>
      </c>
      <c r="E16">
        <v>25</v>
      </c>
      <c r="F16">
        <v>25</v>
      </c>
      <c r="G16">
        <v>25</v>
      </c>
    </row>
    <row r="17" spans="1:7">
      <c r="A17" s="24" t="s">
        <v>124</v>
      </c>
      <c r="B17" t="s">
        <v>121</v>
      </c>
      <c r="C17">
        <v>25</v>
      </c>
      <c r="D17">
        <v>25</v>
      </c>
      <c r="E17">
        <v>25</v>
      </c>
      <c r="F17">
        <v>25</v>
      </c>
      <c r="G17">
        <v>25</v>
      </c>
    </row>
    <row r="18" spans="1:7">
      <c r="A18" s="24" t="s">
        <v>125</v>
      </c>
      <c r="B18" t="s">
        <v>121</v>
      </c>
      <c r="C18">
        <v>25</v>
      </c>
      <c r="D18">
        <v>25</v>
      </c>
      <c r="E18">
        <v>25</v>
      </c>
      <c r="F18">
        <v>25</v>
      </c>
      <c r="G18">
        <v>25</v>
      </c>
    </row>
    <row r="19" spans="1:7">
      <c r="A19" s="24" t="s">
        <v>126</v>
      </c>
      <c r="B19" t="s">
        <v>121</v>
      </c>
      <c r="C19">
        <v>25</v>
      </c>
      <c r="D19">
        <v>25</v>
      </c>
      <c r="E19">
        <v>25</v>
      </c>
      <c r="F19">
        <v>25</v>
      </c>
      <c r="G19">
        <v>25</v>
      </c>
    </row>
    <row r="20" spans="1:7">
      <c r="A20" s="24" t="s">
        <v>127</v>
      </c>
      <c r="B20" t="s">
        <v>121</v>
      </c>
      <c r="C20">
        <v>25</v>
      </c>
      <c r="D20">
        <v>25</v>
      </c>
      <c r="E20">
        <v>25</v>
      </c>
      <c r="F20">
        <v>25</v>
      </c>
      <c r="G20">
        <v>25</v>
      </c>
    </row>
    <row r="21" spans="1:7">
      <c r="A21" s="24" t="s">
        <v>128</v>
      </c>
      <c r="B21" t="s">
        <v>121</v>
      </c>
      <c r="C21">
        <v>25</v>
      </c>
      <c r="D21">
        <v>25</v>
      </c>
      <c r="E21">
        <v>25</v>
      </c>
      <c r="F21">
        <v>25</v>
      </c>
      <c r="G21">
        <v>25</v>
      </c>
    </row>
    <row r="22" spans="1:7">
      <c r="A22" s="24" t="s">
        <v>129</v>
      </c>
      <c r="B22" t="s">
        <v>121</v>
      </c>
      <c r="C22">
        <v>25</v>
      </c>
      <c r="D22">
        <v>25</v>
      </c>
      <c r="E22">
        <v>25</v>
      </c>
      <c r="F22">
        <v>25</v>
      </c>
      <c r="G22">
        <v>25</v>
      </c>
    </row>
    <row r="23" spans="1:7">
      <c r="A23" s="24" t="s">
        <v>130</v>
      </c>
      <c r="B23" t="s">
        <v>121</v>
      </c>
      <c r="C23">
        <v>25</v>
      </c>
      <c r="D23">
        <v>25</v>
      </c>
      <c r="E23">
        <v>25</v>
      </c>
      <c r="F23">
        <v>25</v>
      </c>
      <c r="G23">
        <v>25</v>
      </c>
    </row>
    <row r="24" spans="1:7">
      <c r="A24" t="s">
        <v>131</v>
      </c>
      <c r="B24" t="s">
        <v>132</v>
      </c>
      <c r="C24">
        <v>75000</v>
      </c>
      <c r="D24">
        <v>75000</v>
      </c>
      <c r="E24">
        <v>75000</v>
      </c>
      <c r="F24">
        <v>75000</v>
      </c>
      <c r="G24">
        <v>75000</v>
      </c>
    </row>
    <row r="25" spans="1:7">
      <c r="A25" t="s">
        <v>133</v>
      </c>
      <c r="B25" t="s">
        <v>132</v>
      </c>
      <c r="C25">
        <v>45000</v>
      </c>
      <c r="D25">
        <v>47000</v>
      </c>
      <c r="E25">
        <v>48500</v>
      </c>
      <c r="F25">
        <v>49500</v>
      </c>
      <c r="G25">
        <v>50000</v>
      </c>
    </row>
    <row r="26" spans="1:7">
      <c r="A26" t="s">
        <v>134</v>
      </c>
      <c r="B26" t="s">
        <v>132</v>
      </c>
      <c r="C26">
        <v>20000</v>
      </c>
      <c r="D26">
        <v>30000</v>
      </c>
      <c r="E26">
        <v>35000</v>
      </c>
      <c r="F26">
        <v>38500</v>
      </c>
      <c r="G26">
        <v>40000</v>
      </c>
    </row>
    <row r="27" spans="1:7">
      <c r="A27" t="s">
        <v>135</v>
      </c>
      <c r="B27" t="s">
        <v>132</v>
      </c>
      <c r="C27">
        <v>6000</v>
      </c>
      <c r="D27">
        <v>6000</v>
      </c>
      <c r="E27">
        <v>6000</v>
      </c>
      <c r="F27">
        <v>6000</v>
      </c>
      <c r="G27">
        <v>6000</v>
      </c>
    </row>
    <row r="28" spans="1:7">
      <c r="A28" t="s">
        <v>136</v>
      </c>
      <c r="B28" t="s">
        <v>132</v>
      </c>
      <c r="C28">
        <v>6000</v>
      </c>
      <c r="D28">
        <v>6000</v>
      </c>
      <c r="E28">
        <v>6000</v>
      </c>
      <c r="F28">
        <v>6000</v>
      </c>
      <c r="G28">
        <v>6000</v>
      </c>
    </row>
    <row r="29" spans="1:7">
      <c r="A29" t="s">
        <v>137</v>
      </c>
      <c r="B29" t="s">
        <v>132</v>
      </c>
      <c r="C29">
        <v>6000</v>
      </c>
      <c r="D29">
        <v>6000</v>
      </c>
      <c r="E29">
        <v>6000</v>
      </c>
      <c r="F29">
        <v>6000</v>
      </c>
      <c r="G29">
        <v>6000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142" zoomScaleNormal="142" workbookViewId="0">
      <selection activeCell="F10" sqref="F10"/>
    </sheetView>
  </sheetViews>
  <sheetFormatPr defaultColWidth="9" defaultRowHeight="14" outlineLevelCol="6"/>
  <sheetData>
    <row r="1" spans="1:7">
      <c r="A1" t="s">
        <v>73</v>
      </c>
      <c r="B1" t="s">
        <v>72</v>
      </c>
      <c r="C1">
        <v>2020</v>
      </c>
      <c r="D1">
        <v>2030</v>
      </c>
      <c r="E1">
        <v>2040</v>
      </c>
      <c r="F1">
        <v>2050</v>
      </c>
      <c r="G1">
        <v>2060</v>
      </c>
    </row>
    <row r="2" spans="1:7">
      <c r="A2" t="s">
        <v>76</v>
      </c>
      <c r="B2" t="s">
        <v>132</v>
      </c>
      <c r="C2">
        <v>2200</v>
      </c>
      <c r="D2">
        <v>2250</v>
      </c>
      <c r="E2">
        <v>2300</v>
      </c>
      <c r="F2">
        <v>2350</v>
      </c>
      <c r="G2">
        <v>2400</v>
      </c>
    </row>
    <row r="3" spans="1:7">
      <c r="A3" t="s">
        <v>77</v>
      </c>
      <c r="B3" t="s">
        <v>132</v>
      </c>
      <c r="C3">
        <v>1300</v>
      </c>
      <c r="D3">
        <v>1350</v>
      </c>
      <c r="E3">
        <v>1400</v>
      </c>
      <c r="F3">
        <v>1450</v>
      </c>
      <c r="G3">
        <v>1500</v>
      </c>
    </row>
    <row r="4" spans="1:7">
      <c r="A4" t="s">
        <v>78</v>
      </c>
      <c r="B4" t="s">
        <v>132</v>
      </c>
      <c r="C4">
        <v>3800</v>
      </c>
      <c r="D4">
        <v>3800</v>
      </c>
      <c r="E4">
        <v>3800</v>
      </c>
      <c r="F4">
        <v>3800</v>
      </c>
      <c r="G4">
        <v>3800</v>
      </c>
    </row>
    <row r="5" spans="1:7">
      <c r="A5" t="s">
        <v>79</v>
      </c>
      <c r="B5" t="s">
        <v>132</v>
      </c>
      <c r="C5">
        <v>7500</v>
      </c>
      <c r="D5">
        <v>7500</v>
      </c>
      <c r="E5">
        <v>7500</v>
      </c>
      <c r="F5">
        <v>7500</v>
      </c>
      <c r="G5">
        <v>7500</v>
      </c>
    </row>
    <row r="6" spans="1:7">
      <c r="A6" t="s">
        <v>80</v>
      </c>
      <c r="B6" t="s">
        <v>132</v>
      </c>
      <c r="C6">
        <v>2500</v>
      </c>
      <c r="D6">
        <v>2500</v>
      </c>
      <c r="E6">
        <v>2500</v>
      </c>
      <c r="F6">
        <v>2500</v>
      </c>
      <c r="G6">
        <v>2500</v>
      </c>
    </row>
    <row r="7" spans="1:7">
      <c r="A7" t="s">
        <v>81</v>
      </c>
      <c r="B7" t="s">
        <v>132</v>
      </c>
      <c r="C7">
        <v>5000</v>
      </c>
      <c r="D7">
        <v>5000</v>
      </c>
      <c r="E7">
        <v>5000</v>
      </c>
      <c r="F7">
        <v>5000</v>
      </c>
      <c r="G7">
        <v>5000</v>
      </c>
    </row>
    <row r="8" spans="1:7">
      <c r="A8" t="s">
        <v>82</v>
      </c>
      <c r="B8" t="s">
        <v>132</v>
      </c>
      <c r="C8">
        <v>5000</v>
      </c>
      <c r="D8">
        <v>5000</v>
      </c>
      <c r="E8">
        <v>5000</v>
      </c>
      <c r="F8">
        <v>5000</v>
      </c>
      <c r="G8">
        <v>5000</v>
      </c>
    </row>
    <row r="9" spans="1:7">
      <c r="A9" t="s">
        <v>83</v>
      </c>
      <c r="B9" t="s">
        <v>132</v>
      </c>
      <c r="C9">
        <v>5000</v>
      </c>
      <c r="D9">
        <v>5000</v>
      </c>
      <c r="E9">
        <v>5000</v>
      </c>
      <c r="F9">
        <v>5000</v>
      </c>
      <c r="G9">
        <v>5000</v>
      </c>
    </row>
    <row r="10" spans="1:7">
      <c r="A10" t="s">
        <v>84</v>
      </c>
      <c r="B10" t="s">
        <v>132</v>
      </c>
      <c r="C10">
        <v>7500</v>
      </c>
      <c r="D10">
        <v>7500</v>
      </c>
      <c r="E10">
        <v>7500</v>
      </c>
      <c r="F10">
        <v>7500</v>
      </c>
      <c r="G10">
        <v>7500</v>
      </c>
    </row>
    <row r="11" spans="1:7">
      <c r="A11" t="s">
        <v>85</v>
      </c>
      <c r="B11" t="s">
        <v>132</v>
      </c>
      <c r="C11">
        <v>6500</v>
      </c>
      <c r="D11">
        <v>6500</v>
      </c>
      <c r="E11">
        <v>6500</v>
      </c>
      <c r="F11">
        <v>6500</v>
      </c>
      <c r="G11">
        <v>6500</v>
      </c>
    </row>
    <row r="12" spans="1:7">
      <c r="A12" t="s">
        <v>86</v>
      </c>
      <c r="B12" t="s">
        <v>132</v>
      </c>
      <c r="C12">
        <v>7500</v>
      </c>
      <c r="D12">
        <v>7500</v>
      </c>
      <c r="E12">
        <v>7500</v>
      </c>
      <c r="F12">
        <v>7500</v>
      </c>
      <c r="G12">
        <v>7500</v>
      </c>
    </row>
    <row r="13" spans="1:7">
      <c r="A13" t="s">
        <v>87</v>
      </c>
      <c r="B13" t="s">
        <v>132</v>
      </c>
      <c r="C13">
        <v>7500</v>
      </c>
      <c r="D13">
        <v>7500</v>
      </c>
      <c r="E13">
        <v>7500</v>
      </c>
      <c r="F13">
        <v>7500</v>
      </c>
      <c r="G13">
        <v>7500</v>
      </c>
    </row>
    <row r="14" spans="1:7">
      <c r="A14" t="s">
        <v>88</v>
      </c>
      <c r="B14" t="s">
        <v>132</v>
      </c>
      <c r="C14">
        <v>8000</v>
      </c>
      <c r="D14">
        <v>8000</v>
      </c>
      <c r="E14">
        <v>8000</v>
      </c>
      <c r="F14">
        <v>8000</v>
      </c>
      <c r="G14">
        <v>8000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="242" zoomScaleNormal="242" workbookViewId="0">
      <selection activeCell="D31" sqref="D31"/>
    </sheetView>
  </sheetViews>
  <sheetFormatPr defaultColWidth="9" defaultRowHeight="14" outlineLevelCol="4"/>
  <cols>
    <col min="3" max="5" width="13.2166666666667" customWidth="1"/>
  </cols>
  <sheetData>
    <row r="1" spans="1:5">
      <c r="A1" t="s">
        <v>138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t="s">
        <v>143</v>
      </c>
      <c r="B2" t="s">
        <v>144</v>
      </c>
      <c r="C2">
        <v>1838.70967741934</v>
      </c>
      <c r="D2">
        <v>2032.52032520324</v>
      </c>
      <c r="E2">
        <v>698.198198198197</v>
      </c>
    </row>
    <row r="3" spans="1:5">
      <c r="A3" t="s">
        <v>145</v>
      </c>
      <c r="B3" t="s">
        <v>146</v>
      </c>
      <c r="C3">
        <v>1122.44897959182</v>
      </c>
      <c r="D3">
        <v>1578.94736842095</v>
      </c>
      <c r="E3">
        <v>799.999999999963</v>
      </c>
    </row>
    <row r="4" spans="1:5">
      <c r="A4" t="s">
        <v>147</v>
      </c>
      <c r="B4" t="s">
        <v>148</v>
      </c>
      <c r="C4">
        <v>3437.49999999999</v>
      </c>
      <c r="D4">
        <v>1599.99999999996</v>
      </c>
      <c r="E4">
        <v>166.66666666665</v>
      </c>
    </row>
    <row r="5" spans="1:5">
      <c r="A5" t="s">
        <v>149</v>
      </c>
      <c r="B5" t="s">
        <v>150</v>
      </c>
      <c r="C5">
        <v>3182.86151491966</v>
      </c>
      <c r="D5">
        <v>2399.99999999999</v>
      </c>
      <c r="E5">
        <v>652.17391304347</v>
      </c>
    </row>
    <row r="6" spans="1:5">
      <c r="A6" t="s">
        <v>151</v>
      </c>
      <c r="B6" t="s">
        <v>152</v>
      </c>
      <c r="C6">
        <v>4308.75576036865</v>
      </c>
      <c r="D6">
        <v>2215.28861154446</v>
      </c>
      <c r="E6">
        <v>1164.12213740457</v>
      </c>
    </row>
    <row r="7" spans="1:5">
      <c r="A7" t="s">
        <v>153</v>
      </c>
      <c r="B7" t="s">
        <v>154</v>
      </c>
      <c r="C7">
        <v>2025.57200538357</v>
      </c>
      <c r="D7">
        <v>1764.70588235293</v>
      </c>
      <c r="E7">
        <v>602.409638554214</v>
      </c>
    </row>
    <row r="8" spans="1:5">
      <c r="A8" t="s">
        <v>155</v>
      </c>
      <c r="B8" t="s">
        <v>156</v>
      </c>
      <c r="C8">
        <v>3798.68184541641</v>
      </c>
      <c r="D8">
        <v>2019.23076923075</v>
      </c>
      <c r="E8">
        <v>525.641025641017</v>
      </c>
    </row>
    <row r="9" spans="1:5">
      <c r="A9" t="s">
        <v>157</v>
      </c>
      <c r="B9" t="s">
        <v>158</v>
      </c>
      <c r="C9">
        <v>3459.17885795186</v>
      </c>
      <c r="D9">
        <v>1782.38341968911</v>
      </c>
      <c r="E9">
        <v>422.222222222218</v>
      </c>
    </row>
    <row r="10" spans="1:5">
      <c r="A10" t="s">
        <v>159</v>
      </c>
      <c r="B10" t="s">
        <v>160</v>
      </c>
      <c r="C10">
        <v>2280.70175438594</v>
      </c>
      <c r="D10">
        <v>1470.58823529406</v>
      </c>
      <c r="E10">
        <v>697.674418604632</v>
      </c>
    </row>
    <row r="11" spans="1:5">
      <c r="A11" t="s">
        <v>161</v>
      </c>
      <c r="B11" t="s">
        <v>162</v>
      </c>
      <c r="C11">
        <v>1098.90109890109</v>
      </c>
      <c r="D11">
        <v>2145.93817397555</v>
      </c>
      <c r="E11">
        <v>905.529953917049</v>
      </c>
    </row>
    <row r="12" spans="1:5">
      <c r="A12" t="s">
        <v>163</v>
      </c>
      <c r="B12" t="s">
        <v>164</v>
      </c>
      <c r="C12">
        <v>2427.18446601939</v>
      </c>
      <c r="D12">
        <v>2187.29096989966</v>
      </c>
      <c r="E12">
        <v>606.382978723397</v>
      </c>
    </row>
    <row r="13" spans="1:5">
      <c r="A13" t="s">
        <v>165</v>
      </c>
      <c r="B13" t="s">
        <v>166</v>
      </c>
      <c r="C13">
        <v>2506.26566416039</v>
      </c>
      <c r="D13">
        <v>1217.94871794871</v>
      </c>
      <c r="E13">
        <v>625.889046941677</v>
      </c>
    </row>
    <row r="14" spans="1:5">
      <c r="A14" t="s">
        <v>167</v>
      </c>
      <c r="B14" t="s">
        <v>168</v>
      </c>
      <c r="C14">
        <v>4069.73576682102</v>
      </c>
      <c r="D14">
        <v>1933.53474320241</v>
      </c>
      <c r="E14">
        <v>677.966101694913</v>
      </c>
    </row>
    <row r="15" spans="1:5">
      <c r="A15" t="s">
        <v>169</v>
      </c>
      <c r="B15" t="s">
        <v>170</v>
      </c>
      <c r="C15">
        <v>3171.97452229299</v>
      </c>
      <c r="D15">
        <v>1724.13793103447</v>
      </c>
      <c r="E15">
        <v>340.909090909088</v>
      </c>
    </row>
    <row r="16" spans="1:5">
      <c r="A16" t="s">
        <v>171</v>
      </c>
      <c r="B16" t="s">
        <v>172</v>
      </c>
      <c r="C16">
        <v>991.735537190077</v>
      </c>
      <c r="D16">
        <v>2455.21087486929</v>
      </c>
      <c r="E16">
        <v>1584.11843876177</v>
      </c>
    </row>
    <row r="17" spans="1:5">
      <c r="A17" t="s">
        <v>173</v>
      </c>
      <c r="B17" t="s">
        <v>174</v>
      </c>
      <c r="C17">
        <v>1094.3396226415</v>
      </c>
      <c r="D17">
        <v>1999.99999999999</v>
      </c>
      <c r="E17">
        <v>893.054024255787</v>
      </c>
    </row>
    <row r="18" spans="1:5">
      <c r="A18" t="s">
        <v>175</v>
      </c>
      <c r="B18" t="s">
        <v>176</v>
      </c>
      <c r="C18">
        <v>2552.84552845527</v>
      </c>
      <c r="D18">
        <v>1822.22222222221</v>
      </c>
      <c r="E18">
        <v>668.151447661468</v>
      </c>
    </row>
    <row r="19" spans="1:5">
      <c r="A19" t="s">
        <v>177</v>
      </c>
      <c r="B19" t="s">
        <v>178</v>
      </c>
      <c r="C19">
        <v>2026.31578947367</v>
      </c>
      <c r="D19">
        <v>2192.60700389104</v>
      </c>
      <c r="E19">
        <v>842.767295597478</v>
      </c>
    </row>
    <row r="20" spans="1:5">
      <c r="A20" t="s">
        <v>179</v>
      </c>
      <c r="B20" t="s">
        <v>180</v>
      </c>
      <c r="C20">
        <v>1525.42372881355</v>
      </c>
      <c r="D20">
        <v>2189.22470433639</v>
      </c>
      <c r="E20">
        <v>538.116591928248</v>
      </c>
    </row>
    <row r="21" spans="1:5">
      <c r="A21" t="s">
        <v>181</v>
      </c>
      <c r="B21" t="s">
        <v>182</v>
      </c>
      <c r="C21">
        <v>3720.93023255804</v>
      </c>
      <c r="D21">
        <v>1893.17507418397</v>
      </c>
      <c r="E21">
        <v>1303.22580645161</v>
      </c>
    </row>
    <row r="22" spans="1:5">
      <c r="A22" t="s">
        <v>183</v>
      </c>
      <c r="B22" t="s">
        <v>184</v>
      </c>
      <c r="C22">
        <v>2787.57346767422</v>
      </c>
      <c r="D22">
        <v>1445.69288389512</v>
      </c>
      <c r="E22">
        <v>1523.38811630846</v>
      </c>
    </row>
    <row r="23" spans="1:5">
      <c r="A23" t="s">
        <v>185</v>
      </c>
      <c r="B23" t="s">
        <v>186</v>
      </c>
      <c r="C23">
        <v>2852.7607361963</v>
      </c>
      <c r="D23">
        <v>1817.28395061727</v>
      </c>
      <c r="E23">
        <v>1122.11981566819</v>
      </c>
    </row>
    <row r="24" spans="1:5">
      <c r="A24" t="s">
        <v>187</v>
      </c>
      <c r="B24" t="s">
        <v>188</v>
      </c>
      <c r="C24">
        <v>621.521335807043</v>
      </c>
      <c r="D24">
        <v>1893.5427574171</v>
      </c>
      <c r="E24">
        <v>693.916349809885</v>
      </c>
    </row>
    <row r="25" spans="1:5">
      <c r="A25" t="s">
        <v>189</v>
      </c>
      <c r="B25" t="s">
        <v>190</v>
      </c>
      <c r="C25">
        <v>0</v>
      </c>
      <c r="D25">
        <v>2535.21126760559</v>
      </c>
      <c r="E25">
        <v>517.241379310334</v>
      </c>
    </row>
    <row r="26" spans="1:5">
      <c r="A26" t="s">
        <v>191</v>
      </c>
      <c r="B26" t="s">
        <v>192</v>
      </c>
      <c r="C26">
        <v>1721.31147540982</v>
      </c>
      <c r="D26">
        <v>2055.60882070948</v>
      </c>
      <c r="E26">
        <v>949.152542372879</v>
      </c>
    </row>
    <row r="27" spans="1:5">
      <c r="A27" t="s">
        <v>193</v>
      </c>
      <c r="B27" t="s">
        <v>194</v>
      </c>
      <c r="C27">
        <v>4283.12159709618</v>
      </c>
      <c r="D27">
        <v>2173.91304347825</v>
      </c>
      <c r="E27">
        <v>1185.18518518517</v>
      </c>
    </row>
    <row r="28" spans="1:5">
      <c r="A28" t="s">
        <v>195</v>
      </c>
      <c r="B28" t="s">
        <v>196</v>
      </c>
      <c r="C28">
        <v>999.999999998858</v>
      </c>
      <c r="D28">
        <v>1538.4615384615</v>
      </c>
      <c r="E28">
        <v>882.352941176455</v>
      </c>
    </row>
    <row r="29" spans="1:5">
      <c r="A29" t="s">
        <v>197</v>
      </c>
      <c r="B29" t="s">
        <v>198</v>
      </c>
      <c r="C29">
        <v>3646.72364672364</v>
      </c>
      <c r="D29">
        <v>2425.29932326912</v>
      </c>
      <c r="E29">
        <v>1447.5374732334</v>
      </c>
    </row>
    <row r="30" spans="1:5">
      <c r="A30" t="s">
        <v>199</v>
      </c>
      <c r="B30" t="s">
        <v>200</v>
      </c>
      <c r="C30">
        <v>4397.38895080401</v>
      </c>
      <c r="D30">
        <v>2267.09451575262</v>
      </c>
      <c r="E30">
        <v>1176.47058823528</v>
      </c>
    </row>
    <row r="31" spans="1:5">
      <c r="A31" t="s">
        <v>201</v>
      </c>
      <c r="B31" t="s">
        <v>202</v>
      </c>
      <c r="C31">
        <v>1827.58620689654</v>
      </c>
      <c r="D31">
        <v>2094.59459459457</v>
      </c>
      <c r="E31">
        <v>687.960687960687</v>
      </c>
    </row>
  </sheetData>
  <conditionalFormatting sqref="C$1:C$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D$1:D$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E$1:E$1048576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I26" sqref="I26"/>
    </sheetView>
  </sheetViews>
  <sheetFormatPr defaultColWidth="9" defaultRowHeight="14" outlineLevelCol="6"/>
  <cols>
    <col min="1" max="1" width="17.3333333333333" customWidth="1"/>
  </cols>
  <sheetData>
    <row r="1" spans="1:7">
      <c r="A1" t="s">
        <v>90</v>
      </c>
      <c r="B1" t="s">
        <v>72</v>
      </c>
      <c r="C1">
        <v>2020</v>
      </c>
      <c r="D1">
        <v>2030</v>
      </c>
      <c r="E1">
        <v>2040</v>
      </c>
      <c r="F1">
        <v>2050</v>
      </c>
      <c r="G1">
        <v>2060</v>
      </c>
    </row>
    <row r="2" spans="1:7">
      <c r="A2" t="s">
        <v>91</v>
      </c>
      <c r="B2" s="25" t="s">
        <v>203</v>
      </c>
      <c r="C2">
        <f>5000-C11</f>
        <v>2800</v>
      </c>
      <c r="D2">
        <f>5000-D11</f>
        <v>2750</v>
      </c>
      <c r="E2">
        <f t="shared" ref="E2:G2" si="0">5000-E11</f>
        <v>2700</v>
      </c>
      <c r="F2">
        <f t="shared" si="0"/>
        <v>2650</v>
      </c>
      <c r="G2">
        <f t="shared" si="0"/>
        <v>2600</v>
      </c>
    </row>
    <row r="3" spans="1:7">
      <c r="A3" t="s">
        <v>93</v>
      </c>
      <c r="B3" s="25" t="s">
        <v>203</v>
      </c>
      <c r="C3">
        <f t="shared" ref="C3:G3" si="1">5000-C12</f>
        <v>2800</v>
      </c>
      <c r="D3">
        <f t="shared" si="1"/>
        <v>2750</v>
      </c>
      <c r="E3">
        <f t="shared" si="1"/>
        <v>2700</v>
      </c>
      <c r="F3">
        <f t="shared" si="1"/>
        <v>2650</v>
      </c>
      <c r="G3">
        <f t="shared" si="1"/>
        <v>2600</v>
      </c>
    </row>
    <row r="4" spans="1:7">
      <c r="A4" t="s">
        <v>94</v>
      </c>
      <c r="B4" s="25" t="s">
        <v>203</v>
      </c>
      <c r="C4">
        <f t="shared" ref="C4:G4" si="2">5000-C13</f>
        <v>3700</v>
      </c>
      <c r="D4">
        <f t="shared" si="2"/>
        <v>3650</v>
      </c>
      <c r="E4">
        <f t="shared" si="2"/>
        <v>3600</v>
      </c>
      <c r="F4">
        <f t="shared" si="2"/>
        <v>3550</v>
      </c>
      <c r="G4">
        <f t="shared" si="2"/>
        <v>3500</v>
      </c>
    </row>
    <row r="5" spans="1:7">
      <c r="A5" t="s">
        <v>95</v>
      </c>
      <c r="B5" s="25" t="s">
        <v>203</v>
      </c>
      <c r="C5">
        <f t="shared" ref="C5:G5" si="3">5000-C14</f>
        <v>3700</v>
      </c>
      <c r="D5">
        <f t="shared" si="3"/>
        <v>3650</v>
      </c>
      <c r="E5">
        <f t="shared" si="3"/>
        <v>3600</v>
      </c>
      <c r="F5">
        <f t="shared" si="3"/>
        <v>3550</v>
      </c>
      <c r="G5">
        <f t="shared" si="3"/>
        <v>3500</v>
      </c>
    </row>
    <row r="6" spans="1:7">
      <c r="A6" t="s">
        <v>96</v>
      </c>
      <c r="B6" s="25" t="s">
        <v>203</v>
      </c>
      <c r="C6">
        <f t="shared" ref="C6:G6" si="4">5000-C15</f>
        <v>1200</v>
      </c>
      <c r="D6">
        <f t="shared" si="4"/>
        <v>1200</v>
      </c>
      <c r="E6">
        <f t="shared" si="4"/>
        <v>1200</v>
      </c>
      <c r="F6">
        <f t="shared" si="4"/>
        <v>1200</v>
      </c>
      <c r="G6">
        <f t="shared" si="4"/>
        <v>1200</v>
      </c>
    </row>
    <row r="7" spans="1:7">
      <c r="A7" t="s">
        <v>97</v>
      </c>
      <c r="B7" s="25" t="s">
        <v>203</v>
      </c>
      <c r="C7">
        <f t="shared" ref="C7:G7" si="5">5000-C16</f>
        <v>1200</v>
      </c>
      <c r="D7">
        <f t="shared" si="5"/>
        <v>1200</v>
      </c>
      <c r="E7">
        <f t="shared" si="5"/>
        <v>1200</v>
      </c>
      <c r="F7">
        <f t="shared" si="5"/>
        <v>1200</v>
      </c>
      <c r="G7">
        <f t="shared" si="5"/>
        <v>1200</v>
      </c>
    </row>
    <row r="8" spans="1:7">
      <c r="A8" t="s">
        <v>204</v>
      </c>
      <c r="B8" s="25" t="s">
        <v>203</v>
      </c>
      <c r="C8">
        <f>7500-C17</f>
        <v>2500</v>
      </c>
      <c r="D8">
        <f t="shared" ref="D8:G8" si="6">7500-D17</f>
        <v>2500</v>
      </c>
      <c r="E8">
        <f t="shared" si="6"/>
        <v>2500</v>
      </c>
      <c r="F8">
        <f t="shared" si="6"/>
        <v>2500</v>
      </c>
      <c r="G8">
        <f t="shared" si="6"/>
        <v>2500</v>
      </c>
    </row>
    <row r="9" spans="1:7">
      <c r="A9" t="s">
        <v>205</v>
      </c>
      <c r="B9" s="25" t="s">
        <v>203</v>
      </c>
      <c r="C9">
        <f t="shared" ref="C9:G9" si="7">7500-C18</f>
        <v>2500</v>
      </c>
      <c r="D9">
        <f t="shared" si="7"/>
        <v>2500</v>
      </c>
      <c r="E9">
        <f t="shared" si="7"/>
        <v>2500</v>
      </c>
      <c r="F9">
        <f t="shared" si="7"/>
        <v>2500</v>
      </c>
      <c r="G9">
        <f t="shared" si="7"/>
        <v>2500</v>
      </c>
    </row>
    <row r="10" spans="1:7">
      <c r="A10" t="s">
        <v>206</v>
      </c>
      <c r="B10" s="25" t="s">
        <v>203</v>
      </c>
      <c r="C10">
        <f t="shared" ref="C10:G10" si="8">7500-C19</f>
        <v>2500</v>
      </c>
      <c r="D10">
        <f t="shared" si="8"/>
        <v>2500</v>
      </c>
      <c r="E10">
        <f t="shared" si="8"/>
        <v>2500</v>
      </c>
      <c r="F10">
        <f t="shared" si="8"/>
        <v>2500</v>
      </c>
      <c r="G10">
        <f t="shared" si="8"/>
        <v>2500</v>
      </c>
    </row>
    <row r="11" spans="1:7">
      <c r="A11" t="s">
        <v>98</v>
      </c>
      <c r="B11" s="25" t="s">
        <v>203</v>
      </c>
      <c r="C11">
        <f>OH_other!C2</f>
        <v>2200</v>
      </c>
      <c r="D11">
        <f>OH_other!D2</f>
        <v>2250</v>
      </c>
      <c r="E11">
        <f>OH_other!E2</f>
        <v>2300</v>
      </c>
      <c r="F11">
        <f>OH_other!F2</f>
        <v>2350</v>
      </c>
      <c r="G11">
        <f>OH_other!G2</f>
        <v>2400</v>
      </c>
    </row>
    <row r="12" spans="1:7">
      <c r="A12" t="s">
        <v>99</v>
      </c>
      <c r="B12" s="25" t="s">
        <v>203</v>
      </c>
      <c r="C12">
        <f>OH_other!C2</f>
        <v>2200</v>
      </c>
      <c r="D12">
        <f>OH_other!D2</f>
        <v>2250</v>
      </c>
      <c r="E12">
        <f>OH_other!E2</f>
        <v>2300</v>
      </c>
      <c r="F12">
        <f>OH_other!F2</f>
        <v>2350</v>
      </c>
      <c r="G12">
        <f>OH_other!G2</f>
        <v>2400</v>
      </c>
    </row>
    <row r="13" spans="1:7">
      <c r="A13" t="s">
        <v>100</v>
      </c>
      <c r="B13" s="25" t="s">
        <v>203</v>
      </c>
      <c r="C13">
        <f>OH_other!C3</f>
        <v>1300</v>
      </c>
      <c r="D13">
        <f>OH_other!D3</f>
        <v>1350</v>
      </c>
      <c r="E13">
        <f>OH_other!E3</f>
        <v>1400</v>
      </c>
      <c r="F13">
        <f>OH_other!F3</f>
        <v>1450</v>
      </c>
      <c r="G13">
        <f>OH_other!G3</f>
        <v>1500</v>
      </c>
    </row>
    <row r="14" spans="1:7">
      <c r="A14" t="s">
        <v>101</v>
      </c>
      <c r="B14" s="25" t="s">
        <v>203</v>
      </c>
      <c r="C14">
        <f>OH_other!C3</f>
        <v>1300</v>
      </c>
      <c r="D14">
        <f>OH_other!D3</f>
        <v>1350</v>
      </c>
      <c r="E14">
        <f>OH_other!E3</f>
        <v>1400</v>
      </c>
      <c r="F14">
        <f>OH_other!F3</f>
        <v>1450</v>
      </c>
      <c r="G14">
        <f>OH_other!G3</f>
        <v>1500</v>
      </c>
    </row>
    <row r="15" spans="1:7">
      <c r="A15" t="s">
        <v>102</v>
      </c>
      <c r="B15" s="25" t="s">
        <v>203</v>
      </c>
      <c r="C15">
        <f>OH_other!C4</f>
        <v>3800</v>
      </c>
      <c r="D15">
        <f>OH_other!D4</f>
        <v>3800</v>
      </c>
      <c r="E15">
        <f>OH_other!E4</f>
        <v>3800</v>
      </c>
      <c r="F15">
        <f>OH_other!F4</f>
        <v>3800</v>
      </c>
      <c r="G15">
        <f>OH_other!G4</f>
        <v>3800</v>
      </c>
    </row>
    <row r="16" spans="1:7">
      <c r="A16" t="s">
        <v>103</v>
      </c>
      <c r="B16" s="25" t="s">
        <v>203</v>
      </c>
      <c r="C16">
        <f>OH_other!C4</f>
        <v>3800</v>
      </c>
      <c r="D16">
        <f>OH_other!D4</f>
        <v>3800</v>
      </c>
      <c r="E16">
        <f>OH_other!E4</f>
        <v>3800</v>
      </c>
      <c r="F16">
        <f>OH_other!F4</f>
        <v>3800</v>
      </c>
      <c r="G16">
        <f>OH_other!G4</f>
        <v>3800</v>
      </c>
    </row>
    <row r="17" spans="1:7">
      <c r="A17" t="s">
        <v>104</v>
      </c>
      <c r="B17" s="25" t="s">
        <v>203</v>
      </c>
      <c r="C17">
        <f>OH_other!C9</f>
        <v>5000</v>
      </c>
      <c r="D17">
        <f>OH_other!D9</f>
        <v>5000</v>
      </c>
      <c r="E17">
        <f>OH_other!E9</f>
        <v>5000</v>
      </c>
      <c r="F17">
        <f>OH_other!F9</f>
        <v>5000</v>
      </c>
      <c r="G17">
        <f>OH_other!G9</f>
        <v>5000</v>
      </c>
    </row>
    <row r="18" spans="1:7">
      <c r="A18" t="s">
        <v>105</v>
      </c>
      <c r="B18" s="25" t="s">
        <v>203</v>
      </c>
      <c r="C18">
        <f>OH_other!C8</f>
        <v>5000</v>
      </c>
      <c r="D18">
        <f>OH_other!D8</f>
        <v>5000</v>
      </c>
      <c r="E18">
        <f>OH_other!E8</f>
        <v>5000</v>
      </c>
      <c r="F18">
        <f>OH_other!F8</f>
        <v>5000</v>
      </c>
      <c r="G18">
        <f>OH_other!G8</f>
        <v>5000</v>
      </c>
    </row>
    <row r="19" spans="1:7">
      <c r="A19" t="s">
        <v>106</v>
      </c>
      <c r="B19" s="25" t="s">
        <v>203</v>
      </c>
      <c r="C19">
        <f>OH_other!C9</f>
        <v>5000</v>
      </c>
      <c r="D19">
        <f>OH_other!D9</f>
        <v>5000</v>
      </c>
      <c r="E19">
        <f>OH_other!E9</f>
        <v>5000</v>
      </c>
      <c r="F19">
        <f>OH_other!F9</f>
        <v>5000</v>
      </c>
      <c r="G19">
        <f>OH_other!G9</f>
        <v>5000</v>
      </c>
    </row>
    <row r="20" spans="1:7">
      <c r="A20" t="s">
        <v>107</v>
      </c>
      <c r="B20" s="25" t="s">
        <v>203</v>
      </c>
      <c r="C20">
        <f>OH_other!C7</f>
        <v>5000</v>
      </c>
      <c r="D20">
        <f>OH_other!D7</f>
        <v>5000</v>
      </c>
      <c r="E20">
        <f>OH_other!E7</f>
        <v>5000</v>
      </c>
      <c r="F20">
        <f>OH_other!F7</f>
        <v>5000</v>
      </c>
      <c r="G20">
        <f>OH_other!G7</f>
        <v>5000</v>
      </c>
    </row>
    <row r="21" spans="1:7">
      <c r="A21" t="s">
        <v>108</v>
      </c>
      <c r="B21" s="25" t="s">
        <v>203</v>
      </c>
      <c r="C21">
        <f>OH_other!C8</f>
        <v>5000</v>
      </c>
      <c r="D21">
        <f>OH_other!D8</f>
        <v>5000</v>
      </c>
      <c r="E21">
        <f>OH_other!E8</f>
        <v>5000</v>
      </c>
      <c r="F21">
        <f>OH_other!F8</f>
        <v>5000</v>
      </c>
      <c r="G21">
        <f>OH_other!G8</f>
        <v>5000</v>
      </c>
    </row>
    <row r="22" spans="1:7">
      <c r="A22" t="s">
        <v>109</v>
      </c>
      <c r="B22" s="25" t="s">
        <v>203</v>
      </c>
      <c r="C22">
        <f>OH_other!C10</f>
        <v>7500</v>
      </c>
      <c r="D22">
        <f>OH_other!D10</f>
        <v>7500</v>
      </c>
      <c r="E22">
        <f>OH_other!E10</f>
        <v>7500</v>
      </c>
      <c r="F22">
        <f>OH_other!F10</f>
        <v>7500</v>
      </c>
      <c r="G22">
        <f>OH_other!G10</f>
        <v>7500</v>
      </c>
    </row>
    <row r="23" spans="1:7">
      <c r="A23" t="s">
        <v>85</v>
      </c>
      <c r="B23" s="25" t="s">
        <v>203</v>
      </c>
      <c r="C23">
        <f>OH_other!C11</f>
        <v>6500</v>
      </c>
      <c r="D23">
        <f>OH_other!D11</f>
        <v>6500</v>
      </c>
      <c r="E23">
        <f>OH_other!E11</f>
        <v>6500</v>
      </c>
      <c r="F23">
        <f>OH_other!F11</f>
        <v>6500</v>
      </c>
      <c r="G23">
        <f>OH_other!G11</f>
        <v>6500</v>
      </c>
    </row>
    <row r="24" spans="1:7">
      <c r="A24" t="s">
        <v>86</v>
      </c>
      <c r="B24" s="25" t="s">
        <v>203</v>
      </c>
      <c r="C24">
        <f>OH_other!C12</f>
        <v>7500</v>
      </c>
      <c r="D24">
        <f>OH_other!D12</f>
        <v>7500</v>
      </c>
      <c r="E24">
        <f>OH_other!E12</f>
        <v>7500</v>
      </c>
      <c r="F24">
        <f>OH_other!F12</f>
        <v>7500</v>
      </c>
      <c r="G24">
        <f>OH_other!G12</f>
        <v>7500</v>
      </c>
    </row>
    <row r="25" spans="1:7">
      <c r="A25" t="s">
        <v>87</v>
      </c>
      <c r="B25" s="25" t="s">
        <v>203</v>
      </c>
      <c r="C25">
        <f>OH_other!C13</f>
        <v>7500</v>
      </c>
      <c r="D25">
        <f>OH_other!D13</f>
        <v>7500</v>
      </c>
      <c r="E25">
        <f>OH_other!E13</f>
        <v>7500</v>
      </c>
      <c r="F25">
        <f>OH_other!F13</f>
        <v>7500</v>
      </c>
      <c r="G25">
        <f>OH_other!G13</f>
        <v>7500</v>
      </c>
    </row>
    <row r="26" spans="1:7">
      <c r="A26" t="s">
        <v>88</v>
      </c>
      <c r="B26" s="25" t="s">
        <v>203</v>
      </c>
      <c r="C26">
        <f>OH_other!C14</f>
        <v>8000</v>
      </c>
      <c r="D26">
        <f>OH_other!D14</f>
        <v>8000</v>
      </c>
      <c r="E26">
        <f>OH_other!E14</f>
        <v>8000</v>
      </c>
      <c r="F26">
        <f>OH_other!F14</f>
        <v>8000</v>
      </c>
      <c r="G26">
        <f>OH_other!G14</f>
        <v>8000</v>
      </c>
    </row>
    <row r="27" spans="1:7">
      <c r="A27" t="s">
        <v>110</v>
      </c>
      <c r="B27" s="25" t="s">
        <v>203</v>
      </c>
      <c r="C27">
        <f>C23</f>
        <v>6500</v>
      </c>
      <c r="D27">
        <f t="shared" ref="D27:G27" si="9">D23</f>
        <v>6500</v>
      </c>
      <c r="E27">
        <f t="shared" si="9"/>
        <v>6500</v>
      </c>
      <c r="F27">
        <f t="shared" si="9"/>
        <v>6500</v>
      </c>
      <c r="G27">
        <f t="shared" si="9"/>
        <v>6500</v>
      </c>
    </row>
    <row r="28" spans="1:7">
      <c r="A28" t="s">
        <v>111</v>
      </c>
      <c r="B28" s="25" t="s">
        <v>203</v>
      </c>
      <c r="C28">
        <f>C24</f>
        <v>7500</v>
      </c>
      <c r="D28">
        <f t="shared" ref="D28:G28" si="10">D24</f>
        <v>7500</v>
      </c>
      <c r="E28">
        <f t="shared" si="10"/>
        <v>7500</v>
      </c>
      <c r="F28">
        <f t="shared" si="10"/>
        <v>7500</v>
      </c>
      <c r="G28">
        <f t="shared" si="10"/>
        <v>7500</v>
      </c>
    </row>
    <row r="29" spans="1:7">
      <c r="A29" t="s">
        <v>112</v>
      </c>
      <c r="B29" s="25" t="s">
        <v>203</v>
      </c>
      <c r="C29">
        <f>C25</f>
        <v>7500</v>
      </c>
      <c r="D29">
        <f t="shared" ref="D29:G29" si="11">D25</f>
        <v>7500</v>
      </c>
      <c r="E29">
        <f t="shared" si="11"/>
        <v>7500</v>
      </c>
      <c r="F29">
        <f t="shared" si="11"/>
        <v>7500</v>
      </c>
      <c r="G29">
        <f t="shared" si="11"/>
        <v>7500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F35" sqref="F35"/>
    </sheetView>
  </sheetViews>
  <sheetFormatPr defaultColWidth="9" defaultRowHeight="14"/>
  <cols>
    <col min="1" max="1" width="17.775" customWidth="1"/>
  </cols>
  <sheetData>
    <row r="1" spans="1:11">
      <c r="A1" t="s">
        <v>90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91</v>
      </c>
      <c r="B2" s="25" t="s">
        <v>207</v>
      </c>
      <c r="C2">
        <v>0.016575</v>
      </c>
      <c r="D2">
        <v>0.017258625</v>
      </c>
      <c r="E2">
        <v>0.017854875</v>
      </c>
      <c r="F2">
        <v>0.01846125</v>
      </c>
      <c r="G2">
        <v>0.0189735</v>
      </c>
      <c r="H2">
        <v>0.0193865625</v>
      </c>
      <c r="I2">
        <v>0.019803</v>
      </c>
      <c r="J2">
        <v>0.0202228125</v>
      </c>
      <c r="K2">
        <v>0.020646</v>
      </c>
    </row>
    <row r="3" spans="1:11">
      <c r="A3" t="s">
        <v>93</v>
      </c>
      <c r="B3" s="25" t="s">
        <v>207</v>
      </c>
      <c r="C3">
        <v>0.01785</v>
      </c>
      <c r="D3">
        <v>0.01859625</v>
      </c>
      <c r="E3">
        <v>0.01924875</v>
      </c>
      <c r="F3">
        <v>0.0199125</v>
      </c>
      <c r="G3">
        <v>0.020475</v>
      </c>
      <c r="H3">
        <v>0.020930625</v>
      </c>
      <c r="I3">
        <v>0.02139</v>
      </c>
      <c r="J3">
        <v>0.021853125</v>
      </c>
      <c r="K3">
        <v>0.02232</v>
      </c>
    </row>
    <row r="4" spans="1:11">
      <c r="A4" t="s">
        <v>94</v>
      </c>
      <c r="B4" s="25" t="s">
        <v>207</v>
      </c>
      <c r="C4">
        <v>0.016575</v>
      </c>
      <c r="D4">
        <v>0.017258625</v>
      </c>
      <c r="E4">
        <v>0.017854875</v>
      </c>
      <c r="F4">
        <v>0.01846125</v>
      </c>
      <c r="G4">
        <v>0.0189735</v>
      </c>
      <c r="H4">
        <v>0.0193865625</v>
      </c>
      <c r="I4">
        <v>0.019803</v>
      </c>
      <c r="J4">
        <v>0.0202228125</v>
      </c>
      <c r="K4">
        <v>0.020646</v>
      </c>
    </row>
    <row r="5" spans="1:11">
      <c r="A5" t="s">
        <v>95</v>
      </c>
      <c r="B5" s="25" t="s">
        <v>207</v>
      </c>
      <c r="C5">
        <v>0.01785</v>
      </c>
      <c r="D5">
        <v>0.01859625</v>
      </c>
      <c r="E5">
        <v>0.01924875</v>
      </c>
      <c r="F5">
        <v>0.0199125</v>
      </c>
      <c r="G5">
        <v>0.020475</v>
      </c>
      <c r="H5">
        <v>0.020930625</v>
      </c>
      <c r="I5">
        <v>0.02139</v>
      </c>
      <c r="J5">
        <v>0.021853125</v>
      </c>
      <c r="K5">
        <v>0.02232</v>
      </c>
    </row>
    <row r="6" spans="1:11">
      <c r="A6" t="s">
        <v>96</v>
      </c>
      <c r="B6" s="25" t="s">
        <v>207</v>
      </c>
      <c r="C6">
        <v>0.016575</v>
      </c>
      <c r="D6">
        <v>0.017258625</v>
      </c>
      <c r="E6">
        <v>0.017854875</v>
      </c>
      <c r="F6">
        <v>0.01846125</v>
      </c>
      <c r="G6">
        <v>0.0189735</v>
      </c>
      <c r="H6">
        <v>0.0193865625</v>
      </c>
      <c r="I6">
        <v>0.019803</v>
      </c>
      <c r="J6">
        <v>0.0202228125</v>
      </c>
      <c r="K6">
        <v>0.020646</v>
      </c>
    </row>
    <row r="7" spans="1:11">
      <c r="A7" t="s">
        <v>97</v>
      </c>
      <c r="B7" s="25" t="s">
        <v>207</v>
      </c>
      <c r="C7">
        <v>0.01785</v>
      </c>
      <c r="D7">
        <v>0.01859625</v>
      </c>
      <c r="E7">
        <v>0.01924875</v>
      </c>
      <c r="F7">
        <v>0.0199125</v>
      </c>
      <c r="G7">
        <v>0.020475</v>
      </c>
      <c r="H7">
        <v>0.020930625</v>
      </c>
      <c r="I7">
        <v>0.02139</v>
      </c>
      <c r="J7">
        <v>0.021853125</v>
      </c>
      <c r="K7">
        <v>0.02232</v>
      </c>
    </row>
    <row r="8" spans="1:11">
      <c r="A8" t="s">
        <v>98</v>
      </c>
      <c r="B8" s="25" t="s">
        <v>207</v>
      </c>
      <c r="C8">
        <v>0.0195</v>
      </c>
      <c r="D8">
        <v>0.0198375</v>
      </c>
      <c r="E8">
        <v>0.020175</v>
      </c>
      <c r="F8">
        <v>0.0205125</v>
      </c>
      <c r="G8">
        <v>0.02085</v>
      </c>
      <c r="H8">
        <v>0.0211875</v>
      </c>
      <c r="I8">
        <v>0.021525</v>
      </c>
      <c r="J8">
        <v>0.0218625</v>
      </c>
      <c r="K8">
        <v>0.0222</v>
      </c>
    </row>
    <row r="9" spans="1:11">
      <c r="A9" t="s">
        <v>99</v>
      </c>
      <c r="B9" s="25" t="s">
        <v>207</v>
      </c>
      <c r="C9">
        <v>0.021</v>
      </c>
      <c r="D9">
        <v>0.021375</v>
      </c>
      <c r="E9">
        <v>0.02175</v>
      </c>
      <c r="F9">
        <v>0.022125</v>
      </c>
      <c r="G9">
        <v>0.0225</v>
      </c>
      <c r="H9">
        <v>0.022875</v>
      </c>
      <c r="I9">
        <v>0.02325</v>
      </c>
      <c r="J9">
        <v>0.023625</v>
      </c>
      <c r="K9">
        <v>0.024</v>
      </c>
    </row>
    <row r="10" spans="1:11">
      <c r="A10" t="s">
        <v>100</v>
      </c>
      <c r="B10" s="25" t="s">
        <v>207</v>
      </c>
      <c r="C10">
        <v>0.0195</v>
      </c>
      <c r="D10">
        <v>0.0198375</v>
      </c>
      <c r="E10">
        <v>0.020175</v>
      </c>
      <c r="F10">
        <v>0.0205125</v>
      </c>
      <c r="G10">
        <v>0.02085</v>
      </c>
      <c r="H10">
        <v>0.0211875</v>
      </c>
      <c r="I10">
        <v>0.021525</v>
      </c>
      <c r="J10">
        <v>0.0218625</v>
      </c>
      <c r="K10">
        <v>0.0222</v>
      </c>
    </row>
    <row r="11" spans="1:11">
      <c r="A11" t="s">
        <v>101</v>
      </c>
      <c r="B11" s="25" t="s">
        <v>207</v>
      </c>
      <c r="C11">
        <v>0.021</v>
      </c>
      <c r="D11">
        <v>0.021375</v>
      </c>
      <c r="E11">
        <v>0.02175</v>
      </c>
      <c r="F11">
        <v>0.022125</v>
      </c>
      <c r="G11">
        <v>0.0225</v>
      </c>
      <c r="H11">
        <v>0.022875</v>
      </c>
      <c r="I11">
        <v>0.02325</v>
      </c>
      <c r="J11">
        <v>0.023625</v>
      </c>
      <c r="K11">
        <v>0.024</v>
      </c>
    </row>
    <row r="12" spans="1:11">
      <c r="A12" t="s">
        <v>102</v>
      </c>
      <c r="B12" s="25" t="s">
        <v>207</v>
      </c>
      <c r="C12">
        <v>0.0195</v>
      </c>
      <c r="D12">
        <v>0.0198375</v>
      </c>
      <c r="E12">
        <v>0.020175</v>
      </c>
      <c r="F12">
        <v>0.0205125</v>
      </c>
      <c r="G12">
        <v>0.02085</v>
      </c>
      <c r="H12">
        <v>0.0211875</v>
      </c>
      <c r="I12">
        <v>0.021525</v>
      </c>
      <c r="J12">
        <v>0.0218625</v>
      </c>
      <c r="K12">
        <v>0.0222</v>
      </c>
    </row>
    <row r="13" spans="1:11">
      <c r="A13" t="s">
        <v>103</v>
      </c>
      <c r="B13" s="25" t="s">
        <v>207</v>
      </c>
      <c r="C13">
        <v>0.021</v>
      </c>
      <c r="D13">
        <v>0.021375</v>
      </c>
      <c r="E13">
        <v>0.02175</v>
      </c>
      <c r="F13">
        <v>0.022125</v>
      </c>
      <c r="G13">
        <v>0.0225</v>
      </c>
      <c r="H13">
        <v>0.022875</v>
      </c>
      <c r="I13">
        <v>0.02325</v>
      </c>
      <c r="J13">
        <v>0.023625</v>
      </c>
      <c r="K13">
        <v>0.024</v>
      </c>
    </row>
    <row r="14" spans="1:11">
      <c r="A14" t="s">
        <v>104</v>
      </c>
      <c r="B14" s="25" t="s">
        <v>207</v>
      </c>
      <c r="C14">
        <v>0.0195</v>
      </c>
      <c r="D14">
        <v>0.0198375</v>
      </c>
      <c r="E14">
        <v>0.020175</v>
      </c>
      <c r="F14">
        <v>0.0205125</v>
      </c>
      <c r="G14">
        <v>0.02085</v>
      </c>
      <c r="H14">
        <v>0.0211875</v>
      </c>
      <c r="I14">
        <v>0.021525</v>
      </c>
      <c r="J14">
        <v>0.0218625</v>
      </c>
      <c r="K14">
        <v>0.0222</v>
      </c>
    </row>
    <row r="15" spans="1:11">
      <c r="A15" t="s">
        <v>105</v>
      </c>
      <c r="B15" s="25" t="s">
        <v>207</v>
      </c>
      <c r="C15">
        <v>0.021</v>
      </c>
      <c r="D15">
        <v>0.021375</v>
      </c>
      <c r="E15">
        <v>0.02175</v>
      </c>
      <c r="F15">
        <v>0.022125</v>
      </c>
      <c r="G15">
        <v>0.0225</v>
      </c>
      <c r="H15">
        <v>0.022875</v>
      </c>
      <c r="I15">
        <v>0.02325</v>
      </c>
      <c r="J15">
        <v>0.023625</v>
      </c>
      <c r="K15">
        <v>0.024</v>
      </c>
    </row>
    <row r="16" spans="1:11">
      <c r="A16" t="s">
        <v>106</v>
      </c>
      <c r="B16" s="25" t="s">
        <v>207</v>
      </c>
      <c r="C16">
        <v>0.0246</v>
      </c>
      <c r="D16">
        <v>0.0258</v>
      </c>
      <c r="E16">
        <v>0.0267</v>
      </c>
      <c r="F16">
        <v>0.0273</v>
      </c>
      <c r="G16">
        <v>0.0276</v>
      </c>
      <c r="H16">
        <v>0.02781</v>
      </c>
      <c r="I16">
        <v>0.02796</v>
      </c>
      <c r="J16">
        <v>0.02811</v>
      </c>
      <c r="K16">
        <v>0.0282</v>
      </c>
    </row>
    <row r="17" spans="1:11">
      <c r="A17" t="s">
        <v>107</v>
      </c>
      <c r="B17" s="25" t="s">
        <v>207</v>
      </c>
      <c r="C17">
        <v>0.0195</v>
      </c>
      <c r="D17">
        <v>0.0198375</v>
      </c>
      <c r="E17">
        <v>0.020175</v>
      </c>
      <c r="F17">
        <v>0.0205125</v>
      </c>
      <c r="G17">
        <v>0.02085</v>
      </c>
      <c r="H17">
        <v>0.0211875</v>
      </c>
      <c r="I17">
        <v>0.021525</v>
      </c>
      <c r="J17">
        <v>0.0218625</v>
      </c>
      <c r="K17">
        <v>0.0222</v>
      </c>
    </row>
    <row r="18" spans="1:11">
      <c r="A18" t="s">
        <v>108</v>
      </c>
      <c r="B18" s="25" t="s">
        <v>207</v>
      </c>
      <c r="C18">
        <v>0.021</v>
      </c>
      <c r="D18">
        <v>0.021375</v>
      </c>
      <c r="E18">
        <v>0.02175</v>
      </c>
      <c r="F18">
        <v>0.022125</v>
      </c>
      <c r="G18">
        <v>0.0225</v>
      </c>
      <c r="H18">
        <v>0.022875</v>
      </c>
      <c r="I18">
        <v>0.02325</v>
      </c>
      <c r="J18">
        <v>0.023625</v>
      </c>
      <c r="K18">
        <v>0.024</v>
      </c>
    </row>
    <row r="19" spans="1:11">
      <c r="A19" t="s">
        <v>109</v>
      </c>
      <c r="B19" s="25" t="s">
        <v>207</v>
      </c>
      <c r="C19">
        <v>0.015</v>
      </c>
      <c r="D19">
        <v>0.0156</v>
      </c>
      <c r="E19">
        <v>0.0162</v>
      </c>
      <c r="F19">
        <v>0.0168</v>
      </c>
      <c r="G19">
        <v>0.0171</v>
      </c>
      <c r="H19">
        <v>0.0174</v>
      </c>
      <c r="I19">
        <v>0.0177</v>
      </c>
      <c r="J19">
        <v>0.01785</v>
      </c>
      <c r="K19">
        <v>0.018</v>
      </c>
    </row>
    <row r="20" spans="1:11">
      <c r="A20" t="s">
        <v>85</v>
      </c>
      <c r="B20" s="25" t="s">
        <v>207</v>
      </c>
      <c r="C20">
        <v>0.0144</v>
      </c>
      <c r="D20">
        <v>0.014625</v>
      </c>
      <c r="E20">
        <v>0.01485</v>
      </c>
      <c r="F20">
        <v>0.015075</v>
      </c>
      <c r="G20">
        <v>0.0153</v>
      </c>
      <c r="H20">
        <v>0.015525</v>
      </c>
      <c r="I20">
        <v>0.01575</v>
      </c>
      <c r="J20">
        <v>0.015975</v>
      </c>
      <c r="K20">
        <v>0.0162</v>
      </c>
    </row>
    <row r="21" spans="1:11">
      <c r="A21" t="s">
        <v>86</v>
      </c>
      <c r="B21" s="25" t="s">
        <v>207</v>
      </c>
      <c r="C21">
        <v>0.018</v>
      </c>
      <c r="D21">
        <v>0.018</v>
      </c>
      <c r="E21">
        <v>0.018</v>
      </c>
      <c r="F21">
        <v>0.018</v>
      </c>
      <c r="G21">
        <v>0.018</v>
      </c>
      <c r="H21">
        <v>0.018</v>
      </c>
      <c r="I21">
        <v>0.018</v>
      </c>
      <c r="J21">
        <v>0.018</v>
      </c>
      <c r="K21">
        <v>0.018</v>
      </c>
    </row>
    <row r="22" spans="1:11">
      <c r="A22" t="s">
        <v>87</v>
      </c>
      <c r="B22" s="25" t="s">
        <v>207</v>
      </c>
      <c r="C22">
        <v>0.0218952903225807</v>
      </c>
      <c r="D22">
        <v>0.0218952903225806</v>
      </c>
      <c r="E22">
        <v>0.0218952903225806</v>
      </c>
      <c r="F22">
        <v>0.0218952903225806</v>
      </c>
      <c r="G22">
        <v>0.0218952903225806</v>
      </c>
      <c r="H22">
        <v>0.0218952903225806</v>
      </c>
      <c r="I22">
        <v>0.0218952903225806</v>
      </c>
      <c r="J22">
        <v>0.0218952903225806</v>
      </c>
      <c r="K22">
        <v>0.0218952903225806</v>
      </c>
    </row>
    <row r="23" spans="1:11">
      <c r="A23" t="s">
        <v>88</v>
      </c>
      <c r="B23" s="25" t="s">
        <v>207</v>
      </c>
      <c r="C23">
        <v>0.03</v>
      </c>
      <c r="D23">
        <v>0.03</v>
      </c>
      <c r="E23">
        <v>0.03</v>
      </c>
      <c r="F23">
        <v>0.03</v>
      </c>
      <c r="G23">
        <v>0.03</v>
      </c>
      <c r="H23">
        <v>0.03</v>
      </c>
      <c r="I23">
        <v>0.03</v>
      </c>
      <c r="J23">
        <v>0.03</v>
      </c>
      <c r="K23">
        <v>0.03</v>
      </c>
    </row>
    <row r="24" spans="1:11">
      <c r="A24" t="s">
        <v>110</v>
      </c>
      <c r="B24" s="25" t="s">
        <v>207</v>
      </c>
      <c r="C24">
        <f>C20*0.95</f>
        <v>0.01368</v>
      </c>
      <c r="D24">
        <f t="shared" ref="D24:K24" si="0">D20*0.95</f>
        <v>0.01389375</v>
      </c>
      <c r="E24">
        <f t="shared" si="0"/>
        <v>0.0141075</v>
      </c>
      <c r="F24">
        <f t="shared" si="0"/>
        <v>0.01432125</v>
      </c>
      <c r="G24">
        <f t="shared" si="0"/>
        <v>0.014535</v>
      </c>
      <c r="H24">
        <f t="shared" si="0"/>
        <v>0.01474875</v>
      </c>
      <c r="I24">
        <f t="shared" si="0"/>
        <v>0.0149625</v>
      </c>
      <c r="J24">
        <f t="shared" si="0"/>
        <v>0.01517625</v>
      </c>
      <c r="K24">
        <f t="shared" si="0"/>
        <v>0.01539</v>
      </c>
    </row>
    <row r="25" spans="1:11">
      <c r="A25" t="s">
        <v>111</v>
      </c>
      <c r="B25" s="25" t="s">
        <v>207</v>
      </c>
      <c r="C25">
        <f>C21*0.95</f>
        <v>0.0171</v>
      </c>
      <c r="D25">
        <f t="shared" ref="D25:K25" si="1">D21*0.95</f>
        <v>0.0171</v>
      </c>
      <c r="E25">
        <f t="shared" si="1"/>
        <v>0.0171</v>
      </c>
      <c r="F25">
        <f t="shared" si="1"/>
        <v>0.0171</v>
      </c>
      <c r="G25">
        <f t="shared" si="1"/>
        <v>0.0171</v>
      </c>
      <c r="H25">
        <f t="shared" si="1"/>
        <v>0.0171</v>
      </c>
      <c r="I25">
        <f t="shared" si="1"/>
        <v>0.0171</v>
      </c>
      <c r="J25">
        <f t="shared" si="1"/>
        <v>0.0171</v>
      </c>
      <c r="K25">
        <f t="shared" si="1"/>
        <v>0.0171</v>
      </c>
    </row>
    <row r="26" spans="1:11">
      <c r="A26" t="s">
        <v>112</v>
      </c>
      <c r="B26" s="25" t="s">
        <v>207</v>
      </c>
      <c r="C26">
        <f>C22*0.95</f>
        <v>0.0208005258064517</v>
      </c>
      <c r="D26">
        <f t="shared" ref="D26:K26" si="2">D22*0.95</f>
        <v>0.0208005258064516</v>
      </c>
      <c r="E26">
        <f t="shared" si="2"/>
        <v>0.0208005258064516</v>
      </c>
      <c r="F26">
        <f t="shared" si="2"/>
        <v>0.0208005258064516</v>
      </c>
      <c r="G26">
        <f t="shared" si="2"/>
        <v>0.0208005258064516</v>
      </c>
      <c r="H26">
        <f t="shared" si="2"/>
        <v>0.0208005258064516</v>
      </c>
      <c r="I26">
        <f t="shared" si="2"/>
        <v>0.0208005258064516</v>
      </c>
      <c r="J26">
        <f t="shared" si="2"/>
        <v>0.0208005258064516</v>
      </c>
      <c r="K26">
        <f t="shared" si="2"/>
        <v>0.0208005258064516</v>
      </c>
    </row>
    <row r="27" spans="1:11">
      <c r="A27" t="s">
        <v>208</v>
      </c>
      <c r="B27" s="25" t="s">
        <v>209</v>
      </c>
      <c r="C27">
        <v>85</v>
      </c>
      <c r="D27">
        <v>87</v>
      </c>
      <c r="E27">
        <v>88.5</v>
      </c>
      <c r="F27">
        <v>90</v>
      </c>
      <c r="G27">
        <v>91</v>
      </c>
      <c r="H27">
        <v>91.5</v>
      </c>
      <c r="I27">
        <v>92</v>
      </c>
      <c r="J27">
        <v>92.5</v>
      </c>
      <c r="K27">
        <v>93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zoomScale="145" zoomScaleNormal="145" topLeftCell="A10" workbookViewId="0">
      <selection activeCell="L22" sqref="L22"/>
    </sheetView>
  </sheetViews>
  <sheetFormatPr defaultColWidth="9" defaultRowHeight="14"/>
  <cols>
    <col min="2" max="2" width="15.4416666666667" customWidth="1"/>
  </cols>
  <sheetData>
    <row r="1" spans="1:11">
      <c r="A1" t="s">
        <v>90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91</v>
      </c>
      <c r="B2" s="25" t="s">
        <v>210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93</v>
      </c>
      <c r="B3" s="25" t="s">
        <v>210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94</v>
      </c>
      <c r="B4" s="25" t="s">
        <v>210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95</v>
      </c>
      <c r="B5" s="25" t="s">
        <v>210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96</v>
      </c>
      <c r="B6" s="25" t="s">
        <v>210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97</v>
      </c>
      <c r="B7" s="25" t="s">
        <v>210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98</v>
      </c>
      <c r="B8" s="25" t="s">
        <v>210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99</v>
      </c>
      <c r="B9" s="25" t="s">
        <v>210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100</v>
      </c>
      <c r="B10" s="25" t="s">
        <v>210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101</v>
      </c>
      <c r="B11" s="25" t="s">
        <v>210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102</v>
      </c>
      <c r="B12" s="25" t="s">
        <v>210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103</v>
      </c>
      <c r="B13" s="25" t="s">
        <v>210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104</v>
      </c>
      <c r="B14" s="25" t="s">
        <v>210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105</v>
      </c>
      <c r="B15" s="25" t="s">
        <v>210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106</v>
      </c>
      <c r="B16" s="25" t="s">
        <v>210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107</v>
      </c>
      <c r="B17" s="25" t="s">
        <v>210</v>
      </c>
      <c r="C17">
        <v>28.7</v>
      </c>
      <c r="D17">
        <v>23.92</v>
      </c>
      <c r="E17">
        <v>19.1</v>
      </c>
      <c r="F17">
        <v>14.35</v>
      </c>
      <c r="G17">
        <v>9.57</v>
      </c>
      <c r="H17">
        <v>4.78</v>
      </c>
      <c r="I17">
        <v>0</v>
      </c>
      <c r="J17">
        <v>0</v>
      </c>
      <c r="K17">
        <v>0</v>
      </c>
    </row>
    <row r="18" spans="1:11">
      <c r="A18" t="s">
        <v>108</v>
      </c>
      <c r="B18" s="25" t="s">
        <v>210</v>
      </c>
      <c r="C18">
        <v>28.7</v>
      </c>
      <c r="D18">
        <v>23.92</v>
      </c>
      <c r="E18">
        <v>19.1</v>
      </c>
      <c r="F18">
        <v>14.35</v>
      </c>
      <c r="G18">
        <v>9.57</v>
      </c>
      <c r="H18">
        <v>4.78</v>
      </c>
      <c r="I18">
        <v>0</v>
      </c>
      <c r="J18">
        <v>0</v>
      </c>
      <c r="K18">
        <v>0</v>
      </c>
    </row>
    <row r="19" spans="1:11">
      <c r="A19" t="s">
        <v>109</v>
      </c>
      <c r="B19" s="25" t="s">
        <v>210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85</v>
      </c>
      <c r="B20" s="25" t="s">
        <v>210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86</v>
      </c>
      <c r="B21" s="25" t="s">
        <v>210</v>
      </c>
      <c r="C21">
        <v>21.2</v>
      </c>
      <c r="D21">
        <v>21.2</v>
      </c>
      <c r="E21">
        <v>21.2</v>
      </c>
      <c r="F21">
        <v>21.2</v>
      </c>
      <c r="G21">
        <v>21.2</v>
      </c>
      <c r="H21">
        <v>21.2</v>
      </c>
      <c r="I21">
        <v>21.2</v>
      </c>
      <c r="J21">
        <v>21.2</v>
      </c>
      <c r="K21">
        <v>21.2</v>
      </c>
    </row>
    <row r="22" spans="1:11">
      <c r="A22" t="s">
        <v>87</v>
      </c>
      <c r="B22" s="25" t="s">
        <v>210</v>
      </c>
      <c r="C22">
        <v>10.5</v>
      </c>
      <c r="D22">
        <v>10.5</v>
      </c>
      <c r="E22">
        <v>10.5</v>
      </c>
      <c r="F22">
        <v>10.5</v>
      </c>
      <c r="G22">
        <v>10.5</v>
      </c>
      <c r="H22">
        <v>10.5</v>
      </c>
      <c r="I22">
        <v>10.5</v>
      </c>
      <c r="J22">
        <v>10.5</v>
      </c>
      <c r="K22">
        <v>10.5</v>
      </c>
    </row>
    <row r="23" spans="1:11">
      <c r="A23" t="s">
        <v>88</v>
      </c>
      <c r="B23" s="25" t="s">
        <v>210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110</v>
      </c>
      <c r="B24" s="25" t="s">
        <v>210</v>
      </c>
      <c r="C24">
        <v>-15</v>
      </c>
      <c r="D24">
        <v>-15</v>
      </c>
      <c r="E24">
        <v>-15</v>
      </c>
      <c r="F24">
        <v>-15</v>
      </c>
      <c r="G24">
        <v>-15</v>
      </c>
      <c r="H24">
        <v>-15</v>
      </c>
      <c r="I24">
        <v>-15</v>
      </c>
      <c r="J24">
        <v>-15</v>
      </c>
      <c r="K24">
        <v>-15</v>
      </c>
    </row>
    <row r="25" spans="1:11">
      <c r="A25" t="s">
        <v>111</v>
      </c>
      <c r="B25" s="25" t="s">
        <v>210</v>
      </c>
      <c r="C25">
        <v>2.14</v>
      </c>
      <c r="D25">
        <v>2.14</v>
      </c>
      <c r="E25">
        <v>2.14</v>
      </c>
      <c r="F25">
        <v>2.14</v>
      </c>
      <c r="G25">
        <v>2.14</v>
      </c>
      <c r="H25">
        <v>2.14</v>
      </c>
      <c r="I25">
        <v>2.14</v>
      </c>
      <c r="J25">
        <v>2.14</v>
      </c>
      <c r="K25">
        <v>2.14</v>
      </c>
    </row>
    <row r="26" spans="1:11">
      <c r="A26" t="s">
        <v>112</v>
      </c>
      <c r="B26" s="25" t="s">
        <v>210</v>
      </c>
      <c r="C26">
        <v>1.05</v>
      </c>
      <c r="D26">
        <v>1.05</v>
      </c>
      <c r="E26">
        <v>1.05</v>
      </c>
      <c r="F26">
        <v>1.05</v>
      </c>
      <c r="G26">
        <v>1.05</v>
      </c>
      <c r="H26">
        <v>1.05</v>
      </c>
      <c r="I26">
        <v>1.05</v>
      </c>
      <c r="J26">
        <v>1.05</v>
      </c>
      <c r="K26">
        <v>1.05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45" zoomScaleNormal="145" workbookViewId="0">
      <selection activeCell="A21" sqref="A21"/>
    </sheetView>
  </sheetViews>
  <sheetFormatPr defaultColWidth="9" defaultRowHeight="14"/>
  <cols>
    <col min="1" max="1" width="18.4416666666667" customWidth="1"/>
    <col min="2" max="2" width="14.775" customWidth="1"/>
  </cols>
  <sheetData>
    <row r="1" spans="1:12">
      <c r="A1" t="s">
        <v>90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2">
      <c r="A2" s="24" t="s">
        <v>211</v>
      </c>
      <c r="B2" s="4" t="s">
        <v>212</v>
      </c>
      <c r="C2">
        <v>3.575</v>
      </c>
      <c r="D2">
        <v>3.575</v>
      </c>
      <c r="E2">
        <v>3.575</v>
      </c>
      <c r="F2">
        <v>3.575</v>
      </c>
      <c r="G2">
        <v>3.575</v>
      </c>
      <c r="H2">
        <v>3.575</v>
      </c>
      <c r="I2">
        <v>3.575</v>
      </c>
      <c r="J2">
        <v>3.575</v>
      </c>
      <c r="K2">
        <v>3.575</v>
      </c>
    </row>
    <row r="3" spans="1:12">
      <c r="A3" s="24" t="s">
        <v>213</v>
      </c>
      <c r="B3" s="4" t="s">
        <v>212</v>
      </c>
      <c r="C3">
        <v>1.44375</v>
      </c>
      <c r="D3">
        <v>1.44375</v>
      </c>
      <c r="E3">
        <v>1.44375</v>
      </c>
      <c r="F3">
        <v>1.44375</v>
      </c>
      <c r="G3">
        <v>1.44375</v>
      </c>
      <c r="H3">
        <v>1.44375</v>
      </c>
      <c r="I3">
        <v>1.44375</v>
      </c>
      <c r="J3">
        <v>1.44375</v>
      </c>
      <c r="K3">
        <v>1.44375</v>
      </c>
    </row>
    <row r="4" spans="1:12">
      <c r="A4" s="24" t="s">
        <v>214</v>
      </c>
      <c r="B4" s="4" t="s">
        <v>212</v>
      </c>
      <c r="C4">
        <v>1.48</v>
      </c>
      <c r="D4">
        <v>1.48</v>
      </c>
      <c r="E4">
        <v>1.48</v>
      </c>
      <c r="F4">
        <v>1.48</v>
      </c>
      <c r="G4">
        <v>1.48</v>
      </c>
      <c r="H4">
        <v>1.48</v>
      </c>
      <c r="I4">
        <v>1.48</v>
      </c>
      <c r="J4">
        <v>1.48</v>
      </c>
      <c r="K4">
        <v>1.48</v>
      </c>
    </row>
    <row r="5" spans="1:12">
      <c r="A5" s="24" t="s">
        <v>215</v>
      </c>
      <c r="B5" s="4" t="s">
        <v>212</v>
      </c>
      <c r="C5">
        <v>1.4</v>
      </c>
      <c r="D5">
        <v>1.4</v>
      </c>
      <c r="E5">
        <v>1.4</v>
      </c>
      <c r="F5">
        <v>1.4</v>
      </c>
      <c r="G5">
        <v>1.4</v>
      </c>
      <c r="H5">
        <v>1.4</v>
      </c>
      <c r="I5">
        <v>1.4</v>
      </c>
      <c r="J5">
        <v>1.4</v>
      </c>
      <c r="K5">
        <v>1.4</v>
      </c>
    </row>
    <row r="6" spans="1:12">
      <c r="A6" s="24" t="s">
        <v>216</v>
      </c>
      <c r="B6" s="4" t="s">
        <v>212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2">
      <c r="A7" s="24" t="s">
        <v>217</v>
      </c>
      <c r="B7" s="4" t="s">
        <v>212</v>
      </c>
      <c r="C7">
        <v>1.375</v>
      </c>
      <c r="D7">
        <v>1.375</v>
      </c>
      <c r="E7">
        <v>1.375</v>
      </c>
      <c r="F7">
        <v>1.375</v>
      </c>
      <c r="G7">
        <v>1.375</v>
      </c>
      <c r="H7">
        <v>1.375</v>
      </c>
      <c r="I7">
        <v>1.375</v>
      </c>
      <c r="J7">
        <v>1.375</v>
      </c>
      <c r="K7">
        <v>1.375</v>
      </c>
      <c r="L7" s="4"/>
    </row>
    <row r="8" spans="1:12">
      <c r="A8" s="24" t="s">
        <v>218</v>
      </c>
      <c r="B8" s="4" t="s">
        <v>212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>
      <c r="A9" s="24" t="s">
        <v>219</v>
      </c>
      <c r="B9" s="4" t="s">
        <v>212</v>
      </c>
      <c r="C9">
        <v>-0.9</v>
      </c>
      <c r="D9">
        <v>-0.9</v>
      </c>
      <c r="E9">
        <v>-0.9</v>
      </c>
      <c r="F9">
        <v>-0.9</v>
      </c>
      <c r="G9">
        <v>-0.9</v>
      </c>
      <c r="H9">
        <v>-0.9</v>
      </c>
      <c r="I9">
        <v>-0.9</v>
      </c>
      <c r="J9">
        <v>-0.9</v>
      </c>
      <c r="K9">
        <v>-0.9</v>
      </c>
      <c r="L9" s="4"/>
    </row>
    <row r="10" spans="1:12">
      <c r="A10" s="24" t="s">
        <v>220</v>
      </c>
      <c r="B10" s="4" t="s">
        <v>212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2">
      <c r="A11" s="24" t="s">
        <v>221</v>
      </c>
      <c r="B11" s="4" t="s">
        <v>212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9" spans="3:9">
      <c r="C19" s="4"/>
      <c r="D19" s="4"/>
      <c r="F19" s="4"/>
      <c r="H19" s="4"/>
      <c r="I19" s="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151" zoomScaleNormal="151" workbookViewId="0">
      <selection activeCell="C26" sqref="C26"/>
    </sheetView>
  </sheetViews>
  <sheetFormatPr defaultColWidth="9" defaultRowHeight="14"/>
  <cols>
    <col min="3" max="3" width="9.44166666666667" customWidth="1"/>
    <col min="4" max="4" width="12.775" customWidth="1"/>
    <col min="5" max="5" width="11.6666666666667" customWidth="1"/>
    <col min="6" max="6" width="9.44166666666667" customWidth="1"/>
    <col min="7" max="7" width="12.2166666666667" customWidth="1"/>
    <col min="8" max="8" width="11.6666666666667" customWidth="1"/>
    <col min="9" max="9" width="12.775" customWidth="1"/>
    <col min="10" max="11" width="11.6666666666667" customWidth="1"/>
    <col min="15" max="15" width="12.775" customWidth="1"/>
  </cols>
  <sheetData>
    <row r="1" spans="1:11">
      <c r="A1" t="s">
        <v>73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76</v>
      </c>
      <c r="B2" t="s">
        <v>222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77</v>
      </c>
      <c r="B3" t="s">
        <v>222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78</v>
      </c>
      <c r="B4" t="s">
        <v>222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79</v>
      </c>
      <c r="B5" t="s">
        <v>222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80</v>
      </c>
      <c r="B6" t="s">
        <v>222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81</v>
      </c>
      <c r="B7" t="s">
        <v>222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82</v>
      </c>
      <c r="B8" t="s">
        <v>222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83</v>
      </c>
      <c r="B9" t="s">
        <v>222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84</v>
      </c>
      <c r="B10" t="s">
        <v>222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85</v>
      </c>
      <c r="B11" t="s">
        <v>222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86</v>
      </c>
      <c r="B12" t="s">
        <v>222</v>
      </c>
      <c r="C12">
        <f>((SUM('H2_P&amp;C'!B2:B5)*10000000*(1.6/1.3))*(2/1.6))/2</f>
        <v>155708463.575407</v>
      </c>
      <c r="D12">
        <f>0.5*C12+0.5*E12</f>
        <v>122734341.401771</v>
      </c>
      <c r="E12">
        <v>89760219.2281343</v>
      </c>
      <c r="F12">
        <f>0.5*G12+0.5*E12</f>
        <v>49840146.1520895</v>
      </c>
      <c r="G12">
        <v>9920073.07604475</v>
      </c>
      <c r="H12">
        <v>0</v>
      </c>
      <c r="I12">
        <v>0</v>
      </c>
      <c r="J12">
        <v>0</v>
      </c>
      <c r="K12">
        <v>0</v>
      </c>
    </row>
    <row r="13" spans="1:11">
      <c r="A13" t="s">
        <v>87</v>
      </c>
      <c r="B13" t="s">
        <v>222</v>
      </c>
      <c r="C13">
        <f>((SUM('H2_P&amp;C'!C2:C5)*10000000*(1.6/1.3))*(2/1.6))/2</f>
        <v>62332056.1105884</v>
      </c>
      <c r="D13">
        <f>0.5*C13+0.5*E13</f>
        <v>56193400.4317189</v>
      </c>
      <c r="E13">
        <v>50054744.7528493</v>
      </c>
      <c r="F13">
        <f t="shared" ref="F13" si="0">0.5*G13+0.5*E13</f>
        <v>29536496.5018995</v>
      </c>
      <c r="G13">
        <v>9018248.25094977</v>
      </c>
      <c r="H13">
        <v>0</v>
      </c>
      <c r="I13">
        <v>0</v>
      </c>
      <c r="J13">
        <v>0</v>
      </c>
      <c r="K13">
        <v>0</v>
      </c>
    </row>
    <row r="14" spans="1:11">
      <c r="A14" t="s">
        <v>88</v>
      </c>
      <c r="B14" t="s">
        <v>222</v>
      </c>
      <c r="C14">
        <f>((SUM('H2_P&amp;C'!D2:D5)*10000000*(1.6/1.3))*(2/1.6))/2</f>
        <v>49618055.9550299</v>
      </c>
      <c r="D14">
        <f>0.5*C14+0.5*E14</f>
        <v>40678346.1593331</v>
      </c>
      <c r="E14">
        <v>31738636.3636364</v>
      </c>
      <c r="F14">
        <v>14053977.2727273</v>
      </c>
      <c r="G14">
        <v>5769318.1818182</v>
      </c>
      <c r="H14">
        <v>0</v>
      </c>
      <c r="I14">
        <v>0</v>
      </c>
      <c r="J14">
        <v>0</v>
      </c>
      <c r="K14">
        <v>0</v>
      </c>
    </row>
    <row r="15" spans="1:11">
      <c r="A15" s="24" t="s">
        <v>122</v>
      </c>
      <c r="B15" s="4" t="s">
        <v>223</v>
      </c>
      <c r="C15">
        <f>SUM(province_structure!K2:K31)/0.8</f>
        <v>25.487946276875</v>
      </c>
      <c r="D15">
        <f>C15*0.5+E15*0.5</f>
        <v>20.3903570215</v>
      </c>
      <c r="E15">
        <f>C15*0.6</f>
        <v>15.292767766125</v>
      </c>
      <c r="F15">
        <f>E15*0.5+G15*0.5</f>
        <v>9.55797985382812</v>
      </c>
      <c r="G15">
        <f>E15*0.25</f>
        <v>3.82319194153125</v>
      </c>
      <c r="H15">
        <v>0</v>
      </c>
      <c r="I15">
        <v>0</v>
      </c>
      <c r="J15">
        <v>0</v>
      </c>
      <c r="K15">
        <v>0</v>
      </c>
    </row>
    <row r="16" spans="1:11">
      <c r="A16" s="24" t="s">
        <v>123</v>
      </c>
      <c r="B16" s="4" t="s">
        <v>223</v>
      </c>
      <c r="C16" s="4">
        <f>SUM(province_structure!O2:O31)/0.8</f>
        <v>14.0764176734375</v>
      </c>
      <c r="D16">
        <f t="shared" ref="D16:D23" si="1">C16*0.5+E16*0.5</f>
        <v>11.26113413875</v>
      </c>
      <c r="E16">
        <f t="shared" ref="E16:E23" si="2">C16*0.6</f>
        <v>8.4458506040625</v>
      </c>
      <c r="F16">
        <f t="shared" ref="F16:F23" si="3">E16*0.5+G16*0.5</f>
        <v>5.27865662753906</v>
      </c>
      <c r="G16">
        <f t="shared" ref="G16:G23" si="4">E16*0.25</f>
        <v>2.11146265101563</v>
      </c>
      <c r="H16">
        <v>0</v>
      </c>
      <c r="I16">
        <v>0</v>
      </c>
      <c r="J16">
        <v>0</v>
      </c>
      <c r="K16">
        <v>0</v>
      </c>
    </row>
    <row r="17" spans="1:16">
      <c r="A17" s="24" t="s">
        <v>124</v>
      </c>
      <c r="B17" s="4" t="s">
        <v>223</v>
      </c>
      <c r="C17">
        <f>SUM(province_structure!Q2:Q31)/0.8</f>
        <v>16.87350438625</v>
      </c>
      <c r="D17">
        <f t="shared" si="1"/>
        <v>13.498803509</v>
      </c>
      <c r="E17">
        <f t="shared" si="2"/>
        <v>10.12410263175</v>
      </c>
      <c r="F17">
        <f t="shared" si="3"/>
        <v>6.32756414484375</v>
      </c>
      <c r="G17">
        <f t="shared" si="4"/>
        <v>2.5310256579375</v>
      </c>
      <c r="H17">
        <v>0</v>
      </c>
      <c r="I17">
        <v>0</v>
      </c>
      <c r="J17">
        <v>0</v>
      </c>
      <c r="K17">
        <v>0</v>
      </c>
    </row>
    <row r="18" spans="1:16">
      <c r="A18" s="24" t="s">
        <v>125</v>
      </c>
      <c r="B18" s="4" t="s">
        <v>223</v>
      </c>
      <c r="C18">
        <f>SUM(province_structure!K2:K31)/0.85</f>
        <v>23.9886553194118</v>
      </c>
      <c r="D18">
        <f t="shared" si="1"/>
        <v>19.1909242555294</v>
      </c>
      <c r="E18">
        <f t="shared" si="2"/>
        <v>14.3931931916471</v>
      </c>
      <c r="F18">
        <f t="shared" si="3"/>
        <v>8.99574574477941</v>
      </c>
      <c r="G18">
        <f t="shared" si="4"/>
        <v>3.59829829791176</v>
      </c>
      <c r="H18">
        <v>0</v>
      </c>
      <c r="I18">
        <v>0</v>
      </c>
      <c r="J18">
        <v>0</v>
      </c>
      <c r="K18">
        <v>0</v>
      </c>
      <c r="P18" s="25"/>
    </row>
    <row r="19" spans="1:16">
      <c r="A19" s="24" t="s">
        <v>126</v>
      </c>
      <c r="B19" s="4" t="s">
        <v>223</v>
      </c>
      <c r="C19">
        <f>SUM(province_structure!P2:P31)/0.85</f>
        <v>47.7344415058824</v>
      </c>
      <c r="D19">
        <f t="shared" si="1"/>
        <v>38.1875532047059</v>
      </c>
      <c r="E19">
        <f t="shared" si="2"/>
        <v>28.6406649035294</v>
      </c>
      <c r="F19">
        <f t="shared" si="3"/>
        <v>17.9004155647059</v>
      </c>
      <c r="G19">
        <f t="shared" si="4"/>
        <v>7.16016622588235</v>
      </c>
      <c r="H19">
        <v>0</v>
      </c>
      <c r="I19">
        <v>0</v>
      </c>
      <c r="J19">
        <v>0</v>
      </c>
      <c r="K19">
        <v>0</v>
      </c>
    </row>
    <row r="20" spans="1:16">
      <c r="A20" s="24" t="s">
        <v>127</v>
      </c>
      <c r="B20" s="4" t="s">
        <v>223</v>
      </c>
      <c r="C20" s="25">
        <f>SUM(province_structure!N2:N31)/0.85</f>
        <v>6.49431762352941</v>
      </c>
      <c r="D20">
        <f t="shared" si="1"/>
        <v>5.19545409882353</v>
      </c>
      <c r="E20">
        <f t="shared" si="2"/>
        <v>3.89659057411765</v>
      </c>
      <c r="F20">
        <f t="shared" si="3"/>
        <v>2.43536910882353</v>
      </c>
      <c r="G20">
        <f t="shared" si="4"/>
        <v>0.974147643529412</v>
      </c>
      <c r="H20">
        <v>0</v>
      </c>
      <c r="I20">
        <v>0</v>
      </c>
      <c r="J20">
        <v>0</v>
      </c>
      <c r="K20">
        <v>0</v>
      </c>
    </row>
    <row r="21" spans="1:16">
      <c r="A21" s="24" t="s">
        <v>128</v>
      </c>
      <c r="B21" s="4" t="s">
        <v>223</v>
      </c>
      <c r="C21">
        <f>SUM(province_structure!M2:M31)/0.85</f>
        <v>17.2046474211765</v>
      </c>
      <c r="D21">
        <f t="shared" si="1"/>
        <v>13.7637179369412</v>
      </c>
      <c r="E21">
        <f t="shared" si="2"/>
        <v>10.3227884527059</v>
      </c>
      <c r="F21">
        <f t="shared" si="3"/>
        <v>6.45174278294118</v>
      </c>
      <c r="G21">
        <f t="shared" si="4"/>
        <v>2.58069711317647</v>
      </c>
      <c r="H21">
        <v>0</v>
      </c>
      <c r="I21">
        <v>0</v>
      </c>
      <c r="J21">
        <v>0</v>
      </c>
      <c r="K21">
        <v>0</v>
      </c>
    </row>
    <row r="22" spans="1:16">
      <c r="A22" s="24" t="s">
        <v>129</v>
      </c>
      <c r="B22" s="4" t="s">
        <v>223</v>
      </c>
      <c r="C22">
        <f>SUM(province_structure!I2:I31)/0.85</f>
        <v>4.42379722588235</v>
      </c>
      <c r="D22">
        <f t="shared" si="1"/>
        <v>3.53903778070588</v>
      </c>
      <c r="E22">
        <f t="shared" si="2"/>
        <v>2.65427833552941</v>
      </c>
      <c r="F22">
        <f t="shared" si="3"/>
        <v>1.65892395970588</v>
      </c>
      <c r="G22">
        <f t="shared" si="4"/>
        <v>0.663569583882353</v>
      </c>
      <c r="H22">
        <v>0</v>
      </c>
      <c r="I22">
        <v>0</v>
      </c>
      <c r="J22">
        <v>0</v>
      </c>
      <c r="K22">
        <v>0</v>
      </c>
    </row>
    <row r="23" spans="1:16">
      <c r="A23" s="24" t="s">
        <v>130</v>
      </c>
      <c r="B23" s="4" t="s">
        <v>223</v>
      </c>
      <c r="C23">
        <f>SUM(province_structure!L2:L31)/0.85</f>
        <v>10.8840116223529</v>
      </c>
      <c r="D23">
        <f t="shared" si="1"/>
        <v>8.70720929788235</v>
      </c>
      <c r="E23">
        <f t="shared" si="2"/>
        <v>6.53040697341176</v>
      </c>
      <c r="F23">
        <f t="shared" si="3"/>
        <v>4.08150435838235</v>
      </c>
      <c r="G23">
        <f t="shared" si="4"/>
        <v>1.63260174335294</v>
      </c>
      <c r="H23">
        <v>0</v>
      </c>
      <c r="I23">
        <v>0</v>
      </c>
      <c r="J23">
        <v>0</v>
      </c>
      <c r="K23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zoomScale="108" zoomScaleNormal="108" workbookViewId="0">
      <selection activeCell="M24" sqref="M24"/>
    </sheetView>
  </sheetViews>
  <sheetFormatPr defaultColWidth="9" defaultRowHeight="14"/>
  <cols>
    <col min="3" max="3" width="8.66666666666667" customWidth="1"/>
    <col min="4" max="4" width="12.8833333333333" customWidth="1"/>
    <col min="5" max="5" width="12" customWidth="1"/>
    <col min="6" max="6" width="13.1083333333333" customWidth="1"/>
    <col min="7" max="8" width="11.4416666666667" customWidth="1"/>
    <col min="9" max="11" width="9.775" customWidth="1"/>
  </cols>
  <sheetData>
    <row r="1" spans="1:11">
      <c r="A1" t="s">
        <v>224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76</v>
      </c>
      <c r="B2" t="s">
        <v>222</v>
      </c>
      <c r="C2">
        <v>9.99999999999999e+26</v>
      </c>
      <c r="D2">
        <v>9.99999999999999e+26</v>
      </c>
      <c r="E2">
        <v>9.99999999999999e+26</v>
      </c>
      <c r="F2">
        <v>9.99999999999999e+26</v>
      </c>
      <c r="G2">
        <v>9.99999999999999e+26</v>
      </c>
      <c r="H2">
        <v>9.99999999999999e+26</v>
      </c>
      <c r="I2">
        <v>9.99999999999999e+26</v>
      </c>
      <c r="J2">
        <v>9.99999999999999e+26</v>
      </c>
      <c r="K2">
        <v>9.99999999999999e+26</v>
      </c>
    </row>
    <row r="3" spans="1:11">
      <c r="A3" t="s">
        <v>77</v>
      </c>
      <c r="B3" t="s">
        <v>222</v>
      </c>
      <c r="C3">
        <v>9.99999999999999e+26</v>
      </c>
      <c r="D3">
        <v>9.99999999999999e+26</v>
      </c>
      <c r="E3">
        <v>9.99999999999999e+26</v>
      </c>
      <c r="F3">
        <v>9.99999999999999e+26</v>
      </c>
      <c r="G3">
        <v>9.99999999999999e+26</v>
      </c>
      <c r="H3">
        <v>9.99999999999999e+26</v>
      </c>
      <c r="I3">
        <v>9.99999999999999e+26</v>
      </c>
      <c r="J3">
        <v>9.99999999999999e+26</v>
      </c>
      <c r="K3">
        <v>9.99999999999999e+26</v>
      </c>
    </row>
    <row r="4" spans="1:11">
      <c r="A4" t="s">
        <v>78</v>
      </c>
      <c r="B4" t="s">
        <v>222</v>
      </c>
      <c r="C4">
        <v>100000000</v>
      </c>
      <c r="D4">
        <v>100000000</v>
      </c>
      <c r="E4">
        <v>100000000</v>
      </c>
      <c r="F4">
        <v>100000000</v>
      </c>
      <c r="G4">
        <v>100000000</v>
      </c>
      <c r="H4">
        <v>100000000</v>
      </c>
      <c r="I4">
        <v>100000000</v>
      </c>
      <c r="J4">
        <v>100000000</v>
      </c>
      <c r="K4">
        <v>100000000</v>
      </c>
    </row>
    <row r="5" spans="1:11">
      <c r="A5" t="s">
        <v>79</v>
      </c>
      <c r="B5" s="4" t="s">
        <v>209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>
      <c r="A6" t="s">
        <v>80</v>
      </c>
      <c r="B6" t="s">
        <v>222</v>
      </c>
      <c r="C6">
        <v>9.99999999999999e+26</v>
      </c>
      <c r="D6">
        <v>9.99999999999999e+26</v>
      </c>
      <c r="E6">
        <v>9.99999999999999e+26</v>
      </c>
      <c r="F6">
        <v>9.99999999999999e+26</v>
      </c>
      <c r="G6">
        <v>9.99999999999999e+26</v>
      </c>
      <c r="H6">
        <v>9.99999999999999e+26</v>
      </c>
      <c r="I6">
        <v>9.99999999999999e+26</v>
      </c>
      <c r="J6">
        <v>9.99999999999999e+26</v>
      </c>
      <c r="K6">
        <v>9.99999999999999e+26</v>
      </c>
    </row>
    <row r="7" spans="1:11">
      <c r="A7" t="s">
        <v>81</v>
      </c>
      <c r="B7" t="s">
        <v>222</v>
      </c>
      <c r="C7">
        <v>9.99999999999999e+26</v>
      </c>
      <c r="D7">
        <v>9.99999999999999e+26</v>
      </c>
      <c r="E7">
        <v>9.99999999999999e+26</v>
      </c>
      <c r="F7">
        <v>9.99999999999999e+26</v>
      </c>
      <c r="G7">
        <v>9.99999999999999e+26</v>
      </c>
      <c r="H7">
        <v>9.99999999999999e+26</v>
      </c>
      <c r="I7">
        <v>9.99999999999999e+26</v>
      </c>
      <c r="J7">
        <v>9.99999999999999e+26</v>
      </c>
      <c r="K7">
        <v>9.99999999999999e+26</v>
      </c>
    </row>
    <row r="8" spans="1:11">
      <c r="A8" t="s">
        <v>82</v>
      </c>
      <c r="B8" t="s">
        <v>222</v>
      </c>
      <c r="C8">
        <v>9.99999999999999e+26</v>
      </c>
      <c r="D8">
        <v>9.99999999999999e+26</v>
      </c>
      <c r="E8">
        <v>9.99999999999999e+26</v>
      </c>
      <c r="F8">
        <v>9.99999999999999e+26</v>
      </c>
      <c r="G8">
        <v>9.99999999999999e+26</v>
      </c>
      <c r="H8">
        <v>9.99999999999999e+26</v>
      </c>
      <c r="I8">
        <v>9.99999999999999e+26</v>
      </c>
      <c r="J8">
        <v>9.99999999999999e+26</v>
      </c>
      <c r="K8">
        <v>9.99999999999999e+26</v>
      </c>
    </row>
    <row r="9" spans="1:11">
      <c r="A9" t="s">
        <v>83</v>
      </c>
      <c r="B9" t="s">
        <v>222</v>
      </c>
      <c r="C9">
        <v>9.99999999999999e+26</v>
      </c>
      <c r="D9">
        <v>9.99999999999999e+26</v>
      </c>
      <c r="E9">
        <v>9.99999999999999e+26</v>
      </c>
      <c r="F9">
        <v>9.99999999999999e+26</v>
      </c>
      <c r="G9">
        <v>9.99999999999999e+26</v>
      </c>
      <c r="H9">
        <v>9.99999999999999e+26</v>
      </c>
      <c r="I9">
        <v>9.99999999999999e+26</v>
      </c>
      <c r="J9">
        <v>9.99999999999999e+26</v>
      </c>
      <c r="K9">
        <v>9.99999999999999e+26</v>
      </c>
    </row>
    <row r="10" spans="1:11">
      <c r="A10" t="s">
        <v>84</v>
      </c>
      <c r="B10" t="s">
        <v>222</v>
      </c>
      <c r="C10">
        <v>9.99999999999999e+26</v>
      </c>
      <c r="D10">
        <v>9.99999999999999e+26</v>
      </c>
      <c r="E10">
        <v>9.99999999999999e+26</v>
      </c>
      <c r="F10">
        <v>9.99999999999999e+26</v>
      </c>
      <c r="G10">
        <v>9.99999999999999e+26</v>
      </c>
      <c r="H10">
        <v>9.99999999999999e+26</v>
      </c>
      <c r="I10">
        <v>9.99999999999999e+26</v>
      </c>
      <c r="J10">
        <v>9.99999999999999e+26</v>
      </c>
      <c r="K10">
        <v>9.99999999999999e+26</v>
      </c>
    </row>
    <row r="11" spans="1:11">
      <c r="A11" t="s">
        <v>85</v>
      </c>
      <c r="B11" t="s">
        <v>222</v>
      </c>
      <c r="C11">
        <v>9.99999999999999e+26</v>
      </c>
      <c r="D11">
        <v>9.99999999999999e+26</v>
      </c>
      <c r="E11">
        <v>9.99999999999999e+26</v>
      </c>
      <c r="F11">
        <v>9.99999999999999e+26</v>
      </c>
      <c r="G11">
        <v>9.99999999999999e+26</v>
      </c>
      <c r="H11">
        <v>9.99999999999999e+26</v>
      </c>
      <c r="I11">
        <v>9.99999999999999e+26</v>
      </c>
      <c r="J11">
        <v>9.99999999999999e+26</v>
      </c>
      <c r="K11">
        <v>9.99999999999999e+26</v>
      </c>
    </row>
    <row r="12" spans="1:11">
      <c r="A12" t="s">
        <v>86</v>
      </c>
      <c r="B12" t="s">
        <v>222</v>
      </c>
      <c r="C12">
        <v>235393340.010369</v>
      </c>
      <c r="D12">
        <v>235393340.010369</v>
      </c>
      <c r="E12">
        <v>235393340.010369</v>
      </c>
      <c r="F12">
        <v>235393340.010369</v>
      </c>
      <c r="G12">
        <v>235393340.010369</v>
      </c>
      <c r="H12">
        <v>235393340.010369</v>
      </c>
      <c r="I12">
        <v>265393340.010369</v>
      </c>
      <c r="J12">
        <v>265393340.010369</v>
      </c>
      <c r="K12">
        <v>265393340.010369</v>
      </c>
    </row>
    <row r="13" spans="1:11">
      <c r="A13" t="s">
        <v>87</v>
      </c>
      <c r="B13" t="s">
        <v>222</v>
      </c>
      <c r="C13">
        <v>77449437</v>
      </c>
      <c r="D13">
        <f>C13</f>
        <v>77449437</v>
      </c>
      <c r="E13">
        <f t="shared" ref="E13:K13" si="0">D13</f>
        <v>77449437</v>
      </c>
      <c r="F13">
        <f t="shared" si="0"/>
        <v>77449437</v>
      </c>
      <c r="G13">
        <f t="shared" si="0"/>
        <v>77449437</v>
      </c>
      <c r="H13">
        <f t="shared" si="0"/>
        <v>77449437</v>
      </c>
      <c r="I13">
        <f t="shared" si="0"/>
        <v>77449437</v>
      </c>
      <c r="J13">
        <f t="shared" si="0"/>
        <v>77449437</v>
      </c>
      <c r="K13">
        <f t="shared" si="0"/>
        <v>77449437</v>
      </c>
    </row>
    <row r="14" spans="1:11">
      <c r="A14" t="s">
        <v>88</v>
      </c>
      <c r="B14" t="s">
        <v>222</v>
      </c>
      <c r="C14">
        <v>50737500</v>
      </c>
      <c r="D14">
        <v>45061875</v>
      </c>
      <c r="E14">
        <v>35686363.6363637</v>
      </c>
      <c r="F14">
        <v>21864772.7272728</v>
      </c>
      <c r="G14">
        <v>9230909.09090912</v>
      </c>
      <c r="H14">
        <f>G14*0.2</f>
        <v>1846181.81818182</v>
      </c>
      <c r="I14">
        <v>0</v>
      </c>
      <c r="J14">
        <v>0</v>
      </c>
      <c r="K14">
        <v>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82" zoomScaleNormal="182" workbookViewId="0">
      <selection activeCell="B2" sqref="B2:E5"/>
    </sheetView>
  </sheetViews>
  <sheetFormatPr defaultColWidth="9" defaultRowHeight="14" outlineLevelRow="4" outlineLevelCol="4"/>
  <cols>
    <col min="2" max="2" width="12.6666666666667"/>
  </cols>
  <sheetData>
    <row r="1" ht="17" spans="1:5">
      <c r="A1" s="20" t="s">
        <v>225</v>
      </c>
      <c r="B1" s="20" t="s">
        <v>226</v>
      </c>
      <c r="C1" s="20" t="s">
        <v>227</v>
      </c>
      <c r="D1" s="20" t="s">
        <v>228</v>
      </c>
      <c r="E1" s="20" t="s">
        <v>229</v>
      </c>
    </row>
    <row r="2" ht="15.5" spans="1:5">
      <c r="A2" s="20" t="s">
        <v>230</v>
      </c>
      <c r="B2">
        <f>7.9536*(11.067/10.8)</f>
        <v>8.15023066666667</v>
      </c>
      <c r="C2">
        <f>2.6*(11.067/10.8)</f>
        <v>2.66427777777778</v>
      </c>
      <c r="D2">
        <f>0.247*(11.067/10.8)</f>
        <v>0.253106388888889</v>
      </c>
      <c r="E2" s="20">
        <v>0</v>
      </c>
    </row>
    <row r="3" ht="15.5" spans="1:5">
      <c r="A3" s="20" t="s">
        <v>231</v>
      </c>
      <c r="B3">
        <f>6.2516*(9.198/8.2416)</f>
        <v>6.97706959813628</v>
      </c>
      <c r="C3">
        <f>1.09*(9.198/8.2416)</f>
        <v>1.21648951659872</v>
      </c>
      <c r="D3">
        <f>0.9*(9.198/8.2416)</f>
        <v>1.004440885265</v>
      </c>
      <c r="E3" s="20">
        <v>0</v>
      </c>
    </row>
    <row r="4" ht="15.5" spans="1:5">
      <c r="A4" s="20" t="s">
        <v>232</v>
      </c>
      <c r="B4" s="20">
        <v>0.94</v>
      </c>
      <c r="C4" s="20">
        <v>3.15</v>
      </c>
      <c r="D4" s="20">
        <v>4.73</v>
      </c>
      <c r="E4" s="20">
        <v>0</v>
      </c>
    </row>
    <row r="5" ht="15.5" spans="1:5">
      <c r="A5" s="20" t="s">
        <v>233</v>
      </c>
      <c r="B5" s="20">
        <v>4.1748</v>
      </c>
      <c r="C5" s="20">
        <v>1.0724</v>
      </c>
      <c r="D5" s="20">
        <v>0.4628</v>
      </c>
      <c r="E5" s="20">
        <v>0.3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zoomScale="113" zoomScaleNormal="113" topLeftCell="B1" workbookViewId="0">
      <selection activeCell="J38" sqref="J38"/>
    </sheetView>
  </sheetViews>
  <sheetFormatPr defaultColWidth="9" defaultRowHeight="14"/>
  <cols>
    <col min="2" max="7" width="11.5583333333333" customWidth="1"/>
    <col min="18" max="18" width="12.6666666666667"/>
  </cols>
  <sheetData>
    <row r="1" spans="1:18">
      <c r="A1" t="s">
        <v>139</v>
      </c>
      <c r="B1" t="s">
        <v>234</v>
      </c>
      <c r="C1" s="4" t="s">
        <v>235</v>
      </c>
      <c r="D1" t="s">
        <v>236</v>
      </c>
      <c r="E1" t="s">
        <v>237</v>
      </c>
      <c r="F1" s="4" t="s">
        <v>238</v>
      </c>
      <c r="G1" t="s">
        <v>239</v>
      </c>
      <c r="H1" s="4" t="s">
        <v>240</v>
      </c>
      <c r="I1" s="4" t="s">
        <v>129</v>
      </c>
      <c r="J1" s="4" t="s">
        <v>125</v>
      </c>
      <c r="K1" s="4" t="s">
        <v>122</v>
      </c>
      <c r="L1" s="4" t="s">
        <v>130</v>
      </c>
      <c r="M1" s="4" t="s">
        <v>128</v>
      </c>
      <c r="N1" s="21" t="s">
        <v>127</v>
      </c>
      <c r="O1" s="21" t="s">
        <v>123</v>
      </c>
      <c r="P1" s="23" t="s">
        <v>126</v>
      </c>
      <c r="Q1" s="23" t="s">
        <v>124</v>
      </c>
      <c r="R1" s="23" t="s">
        <v>241</v>
      </c>
    </row>
    <row r="2" spans="1:18">
      <c r="A2" t="s">
        <v>144</v>
      </c>
      <c r="B2" s="2">
        <v>3.032511414</v>
      </c>
      <c r="C2" s="2">
        <v>0</v>
      </c>
      <c r="D2" s="2">
        <v>0</v>
      </c>
      <c r="E2" s="2">
        <v>3.497396666</v>
      </c>
      <c r="F2" s="2">
        <v>0</v>
      </c>
      <c r="G2" s="2">
        <v>0</v>
      </c>
      <c r="H2" s="2">
        <f>province_share!N2</f>
        <v>0</v>
      </c>
      <c r="I2" s="2">
        <v>0.352846622</v>
      </c>
      <c r="J2" s="2">
        <v>0</v>
      </c>
      <c r="K2" s="2">
        <v>0</v>
      </c>
      <c r="L2" s="2">
        <v>1.400043111</v>
      </c>
      <c r="M2" s="2">
        <v>0</v>
      </c>
      <c r="N2" s="2">
        <v>0.125003849</v>
      </c>
      <c r="O2" s="2">
        <v>0</v>
      </c>
      <c r="P2" s="2">
        <v>0</v>
      </c>
      <c r="Q2" s="2">
        <v>0</v>
      </c>
      <c r="R2">
        <f>3.27*(I2+L2)-SUM(B2:D2)</f>
        <v>2.69943801291</v>
      </c>
    </row>
    <row r="3" spans="1:18">
      <c r="A3" t="s">
        <v>146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f>province_share!N3</f>
        <v>0.0218631548571806</v>
      </c>
      <c r="I3" s="2">
        <v>0</v>
      </c>
      <c r="J3" s="2">
        <v>0</v>
      </c>
      <c r="K3" s="2">
        <v>0.558673817</v>
      </c>
      <c r="L3" s="2">
        <v>0</v>
      </c>
      <c r="M3" s="2">
        <v>0</v>
      </c>
      <c r="N3" s="2">
        <v>0.250007698</v>
      </c>
      <c r="O3" s="2">
        <v>0.2793369085</v>
      </c>
      <c r="P3" s="2">
        <v>0.279589689</v>
      </c>
      <c r="Q3" s="2">
        <v>0.2234695268</v>
      </c>
      <c r="R3" s="2">
        <v>0</v>
      </c>
    </row>
    <row r="4" spans="1:18">
      <c r="A4" t="s">
        <v>148</v>
      </c>
      <c r="B4" s="2">
        <v>0.643259997</v>
      </c>
      <c r="C4" s="2">
        <v>0.707585997</v>
      </c>
      <c r="D4" s="2">
        <v>1.511660993</v>
      </c>
      <c r="E4" s="2">
        <v>0</v>
      </c>
      <c r="F4" s="2">
        <v>0</v>
      </c>
      <c r="G4" s="2">
        <v>1.431318921</v>
      </c>
      <c r="H4" s="2">
        <f>province_share!N4</f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>
      <c r="A5" t="s">
        <v>150</v>
      </c>
      <c r="B5" s="2">
        <v>0.211356856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f>province_share!N5</f>
        <v>0.0762505215136833</v>
      </c>
      <c r="I5" s="2">
        <v>0</v>
      </c>
      <c r="J5" s="2">
        <v>0</v>
      </c>
      <c r="K5" s="2">
        <v>1.823040879</v>
      </c>
      <c r="L5" s="2">
        <v>0</v>
      </c>
      <c r="M5" s="2">
        <v>0.825025405</v>
      </c>
      <c r="N5" s="2">
        <v>0</v>
      </c>
      <c r="O5" s="2">
        <v>0.937528869</v>
      </c>
      <c r="P5" s="2">
        <v>2.683960428</v>
      </c>
      <c r="Q5" s="2">
        <v>0.858895384</v>
      </c>
      <c r="R5" s="2">
        <v>0</v>
      </c>
    </row>
    <row r="6" spans="1:18">
      <c r="A6" t="s">
        <v>152</v>
      </c>
      <c r="B6" s="2">
        <v>0.790290854</v>
      </c>
      <c r="C6" s="2">
        <v>0</v>
      </c>
      <c r="D6" s="2">
        <v>0</v>
      </c>
      <c r="E6" s="2">
        <v>0.909820983</v>
      </c>
      <c r="F6" s="2">
        <v>0</v>
      </c>
      <c r="G6" s="2">
        <v>0</v>
      </c>
      <c r="H6" s="2">
        <f>province_share!N6</f>
        <v>0.0275779484288717</v>
      </c>
      <c r="I6" s="2">
        <v>0</v>
      </c>
      <c r="J6" s="2">
        <v>0.882116554</v>
      </c>
      <c r="K6" s="2">
        <v>0.704705145</v>
      </c>
      <c r="L6" s="2">
        <v>0</v>
      </c>
      <c r="M6" s="2">
        <v>0</v>
      </c>
      <c r="N6" s="2">
        <v>0</v>
      </c>
      <c r="O6" s="2">
        <v>0.3523525725</v>
      </c>
      <c r="P6" s="2">
        <v>0</v>
      </c>
      <c r="Q6" s="2">
        <v>0.281882058</v>
      </c>
      <c r="R6" s="2">
        <v>0</v>
      </c>
    </row>
    <row r="7" spans="1:18">
      <c r="A7" t="s">
        <v>154</v>
      </c>
      <c r="B7" s="2">
        <v>0</v>
      </c>
      <c r="C7" s="2">
        <v>0</v>
      </c>
      <c r="D7" s="2">
        <v>0</v>
      </c>
      <c r="E7" s="2">
        <v>0.373387544</v>
      </c>
      <c r="F7" s="2">
        <v>0</v>
      </c>
      <c r="G7" s="2">
        <v>0</v>
      </c>
      <c r="H7" s="2">
        <f>province_share!N7</f>
        <v>0.115246329068828</v>
      </c>
      <c r="I7" s="2">
        <v>0</v>
      </c>
      <c r="J7" s="2">
        <v>0</v>
      </c>
      <c r="K7" s="2">
        <v>2.481687906</v>
      </c>
      <c r="L7" s="2">
        <v>0</v>
      </c>
      <c r="M7" s="2">
        <v>1.312540416</v>
      </c>
      <c r="N7" s="2">
        <v>0.412512703</v>
      </c>
      <c r="O7" s="2">
        <v>1.850056968</v>
      </c>
      <c r="P7" s="2">
        <v>1.882354341</v>
      </c>
      <c r="Q7" s="2">
        <v>1.061175829</v>
      </c>
      <c r="R7" s="2">
        <v>0</v>
      </c>
    </row>
    <row r="8" spans="1:18">
      <c r="A8" t="s">
        <v>156</v>
      </c>
      <c r="B8" s="2">
        <v>0.918942853</v>
      </c>
      <c r="C8" s="2">
        <v>0</v>
      </c>
      <c r="D8" s="2">
        <v>0</v>
      </c>
      <c r="E8" s="2">
        <v>0.273817533</v>
      </c>
      <c r="F8" s="2">
        <v>0</v>
      </c>
      <c r="G8" s="2">
        <v>0</v>
      </c>
      <c r="H8" s="2">
        <f>province_share!N8</f>
        <v>0.0329288936814593</v>
      </c>
      <c r="I8" s="2">
        <v>0</v>
      </c>
      <c r="J8" s="2">
        <v>0</v>
      </c>
      <c r="K8" s="2">
        <v>0.84143898</v>
      </c>
      <c r="L8" s="2">
        <v>0</v>
      </c>
      <c r="M8" s="2">
        <v>0</v>
      </c>
      <c r="N8" s="2">
        <v>0</v>
      </c>
      <c r="O8" s="2">
        <v>0.42071949</v>
      </c>
      <c r="P8" s="2">
        <v>0</v>
      </c>
      <c r="Q8" s="2">
        <v>0.336575592</v>
      </c>
      <c r="R8" s="2">
        <v>0</v>
      </c>
    </row>
    <row r="9" spans="1:18">
      <c r="A9" t="s">
        <v>158</v>
      </c>
      <c r="B9" s="2">
        <v>1.37841428</v>
      </c>
      <c r="C9" s="2">
        <v>0</v>
      </c>
      <c r="D9" s="2">
        <v>0</v>
      </c>
      <c r="E9" s="2">
        <v>1.991400237</v>
      </c>
      <c r="F9" s="2">
        <v>0</v>
      </c>
      <c r="G9" s="2">
        <v>0</v>
      </c>
      <c r="H9" s="2">
        <f>province_share!N9</f>
        <v>0</v>
      </c>
      <c r="I9" s="2">
        <v>0.176423311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>
      <c r="A10" t="s">
        <v>160</v>
      </c>
      <c r="B10" s="2">
        <v>0</v>
      </c>
      <c r="C10" s="2">
        <v>0</v>
      </c>
      <c r="D10" s="2">
        <v>1.286519994</v>
      </c>
      <c r="E10" s="2">
        <v>0</v>
      </c>
      <c r="F10" s="2">
        <v>0</v>
      </c>
      <c r="G10" s="2">
        <v>0.933468861</v>
      </c>
      <c r="H10" s="2">
        <f>province_share!N10</f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1.35269852</v>
      </c>
      <c r="Q10" s="2">
        <v>0</v>
      </c>
      <c r="R10" s="2">
        <v>0</v>
      </c>
    </row>
    <row r="11" spans="1:18">
      <c r="A11" t="s">
        <v>162</v>
      </c>
      <c r="B11" s="2">
        <v>1.644907709</v>
      </c>
      <c r="C11" s="2">
        <v>1.87</v>
      </c>
      <c r="D11" s="2">
        <v>0.330819427</v>
      </c>
      <c r="E11" s="2">
        <v>2.026333776</v>
      </c>
      <c r="F11" s="2">
        <v>0</v>
      </c>
      <c r="G11" s="2">
        <v>0.448065053</v>
      </c>
      <c r="H11" s="2">
        <f>province_share!N11</f>
        <v>0.0336878376250964</v>
      </c>
      <c r="I11" s="2">
        <v>0</v>
      </c>
      <c r="J11" s="2">
        <v>0</v>
      </c>
      <c r="K11" s="2">
        <v>0.860832435</v>
      </c>
      <c r="L11" s="2">
        <v>0</v>
      </c>
      <c r="M11" s="2">
        <v>0.625019246</v>
      </c>
      <c r="N11" s="2">
        <v>0</v>
      </c>
      <c r="O11" s="2">
        <v>0.4304162175</v>
      </c>
      <c r="P11" s="2">
        <v>0</v>
      </c>
      <c r="Q11" s="2">
        <v>0.344332974</v>
      </c>
      <c r="R11" s="2">
        <v>0</v>
      </c>
    </row>
    <row r="12" spans="1:18">
      <c r="A12" t="s">
        <v>164</v>
      </c>
      <c r="B12" s="2">
        <v>0.558717254</v>
      </c>
      <c r="C12" s="2">
        <v>0</v>
      </c>
      <c r="D12" s="2">
        <v>0.183788571</v>
      </c>
      <c r="E12" s="2">
        <v>0.597420071</v>
      </c>
      <c r="F12" s="2">
        <v>0</v>
      </c>
      <c r="G12" s="2">
        <v>0.821452598</v>
      </c>
      <c r="H12" s="2">
        <f>province_share!N12</f>
        <v>0.0291445664013497</v>
      </c>
      <c r="I12" s="2">
        <v>0</v>
      </c>
      <c r="J12" s="2">
        <v>0</v>
      </c>
      <c r="K12" s="2">
        <v>0.705693244</v>
      </c>
      <c r="L12" s="2">
        <v>0</v>
      </c>
      <c r="M12" s="2">
        <v>0</v>
      </c>
      <c r="N12" s="2">
        <v>0.100003079</v>
      </c>
      <c r="O12" s="2">
        <v>0.475014627</v>
      </c>
      <c r="P12" s="2">
        <v>1.515209383</v>
      </c>
      <c r="Q12" s="2">
        <v>0.231395719</v>
      </c>
      <c r="R12" s="2">
        <v>0</v>
      </c>
    </row>
    <row r="13" spans="1:18">
      <c r="A13" t="s">
        <v>166</v>
      </c>
      <c r="B13" s="2">
        <v>4.089295695</v>
      </c>
      <c r="C13" s="2">
        <v>0</v>
      </c>
      <c r="D13" s="2">
        <v>0.367577141</v>
      </c>
      <c r="E13" s="2">
        <v>4.509420112</v>
      </c>
      <c r="F13" s="2">
        <v>0</v>
      </c>
      <c r="G13" s="2">
        <v>0.472957556</v>
      </c>
      <c r="H13" s="2">
        <f>province_share!N13</f>
        <v>0.00483290793763048</v>
      </c>
      <c r="I13" s="2">
        <v>0.176423311</v>
      </c>
      <c r="J13" s="2">
        <v>0</v>
      </c>
      <c r="K13" s="2">
        <v>0.123496318</v>
      </c>
      <c r="L13" s="2">
        <v>0.200006159</v>
      </c>
      <c r="M13" s="2">
        <v>0</v>
      </c>
      <c r="N13" s="2">
        <v>0</v>
      </c>
      <c r="O13" s="2">
        <v>0.061748159</v>
      </c>
      <c r="P13" s="2">
        <v>0.307552977</v>
      </c>
      <c r="Q13" s="2">
        <v>0.0493985272</v>
      </c>
      <c r="R13" s="2">
        <v>0</v>
      </c>
    </row>
    <row r="14" spans="1:18">
      <c r="A14" t="s">
        <v>168</v>
      </c>
      <c r="B14" s="2">
        <v>0.358387713</v>
      </c>
      <c r="C14" s="2">
        <v>0</v>
      </c>
      <c r="D14" s="2">
        <v>0</v>
      </c>
      <c r="E14" s="2">
        <v>2.882774923</v>
      </c>
      <c r="F14" s="2">
        <v>0</v>
      </c>
      <c r="G14" s="2">
        <v>0</v>
      </c>
      <c r="H14" s="2">
        <f>province_share!N14</f>
        <v>0.0253152319666692</v>
      </c>
      <c r="I14" s="2">
        <v>0</v>
      </c>
      <c r="J14" s="2">
        <v>0</v>
      </c>
      <c r="K14" s="2">
        <v>0.646885473</v>
      </c>
      <c r="L14" s="2">
        <v>0</v>
      </c>
      <c r="M14" s="2">
        <v>0</v>
      </c>
      <c r="N14" s="2">
        <v>0.137504234</v>
      </c>
      <c r="O14" s="2">
        <v>0.3234427365</v>
      </c>
      <c r="P14" s="2">
        <v>0</v>
      </c>
      <c r="Q14" s="2">
        <v>0.2587541892</v>
      </c>
      <c r="R14" s="2">
        <v>0</v>
      </c>
    </row>
    <row r="15" spans="1:18">
      <c r="A15" t="s">
        <v>170</v>
      </c>
      <c r="B15" s="2">
        <v>0.165409713</v>
      </c>
      <c r="C15" s="2">
        <v>0</v>
      </c>
      <c r="D15" s="2">
        <v>0.027568286</v>
      </c>
      <c r="E15" s="2">
        <v>0.373387545</v>
      </c>
      <c r="F15" s="2">
        <v>0</v>
      </c>
      <c r="G15" s="2">
        <v>0</v>
      </c>
      <c r="H15" s="2">
        <f>province_share!N15</f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>
      <c r="A16" t="s">
        <v>172</v>
      </c>
      <c r="B16" s="2">
        <v>11.266239376</v>
      </c>
      <c r="C16" s="2">
        <v>1.32</v>
      </c>
      <c r="D16" s="2">
        <v>1.405982565</v>
      </c>
      <c r="E16" s="2">
        <v>4.125409893</v>
      </c>
      <c r="F16" s="2">
        <v>0</v>
      </c>
      <c r="G16" s="2">
        <v>0.821452598</v>
      </c>
      <c r="H16" s="2">
        <f>province_share!N16</f>
        <v>0.0102902792265385</v>
      </c>
      <c r="I16" s="2">
        <v>0.529269933</v>
      </c>
      <c r="J16" s="2">
        <v>0</v>
      </c>
      <c r="K16" s="2">
        <v>0.26294968</v>
      </c>
      <c r="L16" s="2">
        <v>1.70005235</v>
      </c>
      <c r="M16" s="2">
        <v>0</v>
      </c>
      <c r="N16" s="2">
        <v>0</v>
      </c>
      <c r="O16" s="2">
        <v>0.13147484</v>
      </c>
      <c r="P16" s="2">
        <v>0</v>
      </c>
      <c r="Q16" s="2">
        <v>0.105179872</v>
      </c>
      <c r="R16" s="2">
        <v>0</v>
      </c>
    </row>
    <row r="17" spans="1:18">
      <c r="A17" t="s">
        <v>174</v>
      </c>
      <c r="B17" s="2">
        <v>1.153273281</v>
      </c>
      <c r="C17" s="2">
        <v>0</v>
      </c>
      <c r="D17" s="2">
        <v>0</v>
      </c>
      <c r="E17" s="2">
        <v>3.364787781</v>
      </c>
      <c r="F17" s="2">
        <v>0</v>
      </c>
      <c r="G17" s="2">
        <v>0</v>
      </c>
      <c r="H17" s="2">
        <f>province_share!N17</f>
        <v>0.0416239454003118</v>
      </c>
      <c r="I17" s="2">
        <v>0.572846491</v>
      </c>
      <c r="J17" s="2">
        <v>1.664259899</v>
      </c>
      <c r="K17" s="2">
        <v>0.4351775</v>
      </c>
      <c r="L17" s="2">
        <v>1.401168146</v>
      </c>
      <c r="M17" s="2">
        <v>1.5750485</v>
      </c>
      <c r="N17" s="2">
        <v>0</v>
      </c>
      <c r="O17" s="2">
        <v>0.987530409</v>
      </c>
      <c r="P17" s="2">
        <v>3.836195128</v>
      </c>
      <c r="Q17" s="2">
        <v>0.312255242</v>
      </c>
      <c r="R17">
        <f>3.27*(I17+L17)-SUM(B17:D17)</f>
        <v>5.30175458199</v>
      </c>
    </row>
    <row r="18" spans="1:18">
      <c r="A18" t="s">
        <v>176</v>
      </c>
      <c r="B18" s="2">
        <v>0</v>
      </c>
      <c r="C18" s="2">
        <v>0</v>
      </c>
      <c r="D18" s="2">
        <v>0</v>
      </c>
      <c r="E18" s="2">
        <v>1.294410154</v>
      </c>
      <c r="F18" s="2">
        <v>0</v>
      </c>
      <c r="G18" s="2">
        <v>0</v>
      </c>
      <c r="H18" s="2">
        <f>province_share!N18</f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0.569445366</v>
      </c>
      <c r="Q18" s="2">
        <v>0</v>
      </c>
      <c r="R18" s="2">
        <v>0</v>
      </c>
    </row>
    <row r="19" spans="1:18">
      <c r="A19" t="s">
        <v>178</v>
      </c>
      <c r="B19" s="2">
        <v>0</v>
      </c>
      <c r="C19" s="2">
        <v>0</v>
      </c>
      <c r="D19" s="2">
        <v>0</v>
      </c>
      <c r="E19" s="2">
        <v>0.746775089</v>
      </c>
      <c r="F19" s="2">
        <v>0</v>
      </c>
      <c r="G19" s="2">
        <v>0</v>
      </c>
      <c r="H19" s="2">
        <f>province_share!N19</f>
        <v>0.0184222741616899</v>
      </c>
      <c r="I19" s="2">
        <v>0.070569324</v>
      </c>
      <c r="J19" s="2">
        <v>0</v>
      </c>
      <c r="K19" s="2">
        <v>0.499866047</v>
      </c>
      <c r="L19" s="2">
        <v>0.225006929</v>
      </c>
      <c r="M19" s="2">
        <v>0</v>
      </c>
      <c r="N19" s="2">
        <v>0.250007698</v>
      </c>
      <c r="O19" s="2">
        <v>0.206256351</v>
      </c>
      <c r="P19" s="2">
        <v>0.696413606</v>
      </c>
      <c r="Q19" s="2">
        <v>0.1999464188</v>
      </c>
      <c r="R19">
        <f>3.27*(I19+L19)-SUM(B19:D19)</f>
        <v>0.96653434731</v>
      </c>
    </row>
    <row r="20" spans="1:18">
      <c r="A20" t="s">
        <v>180</v>
      </c>
      <c r="B20" s="2">
        <v>0.716775425</v>
      </c>
      <c r="C20" s="2">
        <v>0</v>
      </c>
      <c r="D20" s="2">
        <v>0.055136571</v>
      </c>
      <c r="E20" s="2">
        <v>0.809006346</v>
      </c>
      <c r="F20" s="2">
        <v>0</v>
      </c>
      <c r="G20" s="2">
        <v>0.771667591</v>
      </c>
      <c r="H20" s="2">
        <f>province_share!N20</f>
        <v>0.0954066256522752</v>
      </c>
      <c r="I20" s="2">
        <v>0</v>
      </c>
      <c r="J20" s="2">
        <v>0</v>
      </c>
      <c r="K20" s="2">
        <v>2.528734122</v>
      </c>
      <c r="L20" s="2">
        <v>0</v>
      </c>
      <c r="M20" s="2">
        <v>0</v>
      </c>
      <c r="N20" s="2">
        <v>0.350010778</v>
      </c>
      <c r="O20" s="2">
        <v>0.504765543</v>
      </c>
      <c r="P20" s="2">
        <v>6.543647078</v>
      </c>
      <c r="Q20" s="2">
        <v>1.510228721</v>
      </c>
      <c r="R20" s="2">
        <v>0</v>
      </c>
    </row>
    <row r="21" spans="1:18">
      <c r="A21" t="s">
        <v>182</v>
      </c>
      <c r="B21" s="2">
        <v>5.899613114</v>
      </c>
      <c r="C21" s="2">
        <v>0</v>
      </c>
      <c r="D21" s="2">
        <v>0</v>
      </c>
      <c r="E21" s="2">
        <v>0.684543831</v>
      </c>
      <c r="F21" s="2">
        <v>0.18491773308958</v>
      </c>
      <c r="G21" s="2">
        <v>1.79848334</v>
      </c>
      <c r="H21" s="2">
        <f>province_share!N21</f>
        <v>0.0159802187270737</v>
      </c>
      <c r="I21" s="2">
        <v>0.735097129</v>
      </c>
      <c r="J21" s="2">
        <v>0</v>
      </c>
      <c r="K21" s="2">
        <v>0.367511316</v>
      </c>
      <c r="L21" s="2">
        <v>1.237538107</v>
      </c>
      <c r="M21" s="2">
        <v>0</v>
      </c>
      <c r="N21" s="2">
        <v>0.337510393</v>
      </c>
      <c r="O21" s="2">
        <v>0.245007544</v>
      </c>
      <c r="P21" s="2">
        <v>0.157769808</v>
      </c>
      <c r="Q21" s="2">
        <v>0.1470045264</v>
      </c>
      <c r="R21">
        <f>3.27*(I21+L21)-SUM(B21:D21)</f>
        <v>0.550904107719998</v>
      </c>
    </row>
    <row r="22" spans="1:18">
      <c r="A22" t="s">
        <v>184</v>
      </c>
      <c r="B22" s="2">
        <v>0</v>
      </c>
      <c r="C22" s="2">
        <v>0</v>
      </c>
      <c r="D22" s="2">
        <v>1.837885706</v>
      </c>
      <c r="E22" s="2">
        <v>0</v>
      </c>
      <c r="F22" s="2">
        <v>0</v>
      </c>
      <c r="G22" s="2">
        <v>0.497850059</v>
      </c>
      <c r="H22" s="2">
        <f>province_share!N22</f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>
      <c r="A23" t="s">
        <v>186</v>
      </c>
      <c r="B23" s="2">
        <v>7.305595682</v>
      </c>
      <c r="C23" s="2">
        <v>0</v>
      </c>
      <c r="D23" s="2">
        <v>2.12275799</v>
      </c>
      <c r="E23" s="2">
        <v>1.194840141</v>
      </c>
      <c r="F23" s="2">
        <v>0</v>
      </c>
      <c r="G23" s="2">
        <v>0.746775089</v>
      </c>
      <c r="H23" s="2">
        <f>province_share!N23</f>
        <v>0.0205805585509121</v>
      </c>
      <c r="I23" s="2">
        <v>0.505746825</v>
      </c>
      <c r="J23" s="2">
        <v>0</v>
      </c>
      <c r="K23" s="2">
        <v>0.5258993625</v>
      </c>
      <c r="L23" s="2">
        <v>0.750023096</v>
      </c>
      <c r="M23" s="2">
        <v>0</v>
      </c>
      <c r="N23" s="2">
        <v>0.412512702</v>
      </c>
      <c r="O23" s="2">
        <v>0.26294968125</v>
      </c>
      <c r="P23" s="2">
        <v>0</v>
      </c>
      <c r="Q23" s="2">
        <v>0.210359745</v>
      </c>
      <c r="R23" s="2">
        <v>0</v>
      </c>
    </row>
    <row r="24" spans="1:18">
      <c r="A24" t="s">
        <v>188</v>
      </c>
      <c r="B24" s="2">
        <v>4.980670264</v>
      </c>
      <c r="C24" s="2">
        <v>1.2</v>
      </c>
      <c r="D24" s="2">
        <v>0.091894285</v>
      </c>
      <c r="E24" s="2">
        <v>6.349528733</v>
      </c>
      <c r="F24" s="2">
        <v>0.0845527402250466</v>
      </c>
      <c r="G24" s="2">
        <v>0</v>
      </c>
      <c r="H24" s="2">
        <f>province_share!N24</f>
        <v>0.0988747497206999</v>
      </c>
      <c r="I24" s="2">
        <v>0.170542533</v>
      </c>
      <c r="J24" s="2">
        <v>0.588077703</v>
      </c>
      <c r="K24" s="2">
        <v>0.470462162</v>
      </c>
      <c r="L24" s="2">
        <v>0.225006929</v>
      </c>
      <c r="M24" s="2">
        <v>2.623580787</v>
      </c>
      <c r="N24" s="2">
        <v>1.470045266</v>
      </c>
      <c r="O24" s="2">
        <v>0.282508699</v>
      </c>
      <c r="P24" s="2">
        <v>4.089132233</v>
      </c>
      <c r="Q24" s="2">
        <v>2.617689029</v>
      </c>
      <c r="R24" s="2">
        <v>0</v>
      </c>
    </row>
    <row r="25" spans="1:18">
      <c r="A25" t="s">
        <v>190</v>
      </c>
      <c r="B25" s="2">
        <v>0.73101904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f>province_share!N25</f>
        <v>0.0667642982775831</v>
      </c>
      <c r="I25" s="2">
        <v>0</v>
      </c>
      <c r="J25" s="2">
        <v>0</v>
      </c>
      <c r="K25" s="2">
        <v>1.052659088</v>
      </c>
      <c r="L25" s="2">
        <v>0</v>
      </c>
      <c r="M25" s="2">
        <v>0</v>
      </c>
      <c r="N25" s="2">
        <v>0</v>
      </c>
      <c r="O25" s="2">
        <v>1.097533796</v>
      </c>
      <c r="P25" s="2">
        <v>2.142185749</v>
      </c>
      <c r="Q25" s="2">
        <v>0.748159998</v>
      </c>
      <c r="R25" s="2">
        <v>0</v>
      </c>
    </row>
    <row r="26" spans="1:18">
      <c r="A26" t="s">
        <v>192</v>
      </c>
      <c r="B26" s="2">
        <v>6.579630828</v>
      </c>
      <c r="C26" s="2">
        <v>3.05</v>
      </c>
      <c r="D26" s="2">
        <v>0</v>
      </c>
      <c r="E26" s="2">
        <v>4.816699324</v>
      </c>
      <c r="F26" s="2">
        <v>1.1802202035117</v>
      </c>
      <c r="G26" s="2">
        <v>0.497850059</v>
      </c>
      <c r="H26" s="2">
        <f>province_share!N26</f>
        <v>0.0334960948953269</v>
      </c>
      <c r="I26" s="2">
        <v>0.176423311</v>
      </c>
      <c r="J26" s="2">
        <v>0</v>
      </c>
      <c r="K26" s="2">
        <v>0.8559327925</v>
      </c>
      <c r="L26" s="2">
        <v>1.125034643</v>
      </c>
      <c r="M26" s="2">
        <v>0</v>
      </c>
      <c r="N26" s="2">
        <v>0.05000154</v>
      </c>
      <c r="O26" s="2">
        <v>0.42796639625</v>
      </c>
      <c r="P26" s="2">
        <v>0.291257828</v>
      </c>
      <c r="Q26" s="2">
        <v>0.342373117</v>
      </c>
      <c r="R26" s="2">
        <v>0</v>
      </c>
    </row>
    <row r="27" spans="1:18">
      <c r="A27" t="s">
        <v>194</v>
      </c>
      <c r="B27" s="2">
        <v>0</v>
      </c>
      <c r="C27" s="2">
        <v>0</v>
      </c>
      <c r="D27" s="2">
        <v>0.827048567</v>
      </c>
      <c r="E27" s="2">
        <v>0</v>
      </c>
      <c r="F27" s="2">
        <v>0.0753613557069281</v>
      </c>
      <c r="G27" s="2">
        <v>3.523533793</v>
      </c>
      <c r="H27" s="2">
        <f>province_share!N27</f>
        <v>0.0358739604396626</v>
      </c>
      <c r="I27" s="2">
        <v>0</v>
      </c>
      <c r="J27" s="2">
        <v>0.470462162</v>
      </c>
      <c r="K27" s="2">
        <v>0.825025404</v>
      </c>
      <c r="L27" s="2">
        <v>0</v>
      </c>
      <c r="M27" s="2">
        <v>0</v>
      </c>
      <c r="N27" s="2">
        <v>0.087502694</v>
      </c>
      <c r="O27" s="2">
        <v>0.550016936</v>
      </c>
      <c r="P27" s="2">
        <v>0.851726027</v>
      </c>
      <c r="Q27" s="2">
        <v>0.3300101616</v>
      </c>
      <c r="R27" s="2">
        <v>0</v>
      </c>
    </row>
    <row r="28" spans="1:18">
      <c r="A28" t="s">
        <v>196</v>
      </c>
      <c r="B28" s="2">
        <v>0.459471426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f>province_share!N28</f>
        <v>0.074671743504032</v>
      </c>
      <c r="I28" s="2">
        <v>0</v>
      </c>
      <c r="J28" s="2">
        <v>0.117615541</v>
      </c>
      <c r="K28" s="2">
        <v>0.882116555</v>
      </c>
      <c r="L28" s="2">
        <v>0</v>
      </c>
      <c r="M28" s="2">
        <v>0.750023095</v>
      </c>
      <c r="N28" s="2">
        <v>0</v>
      </c>
      <c r="O28" s="2">
        <v>0.4410582775</v>
      </c>
      <c r="P28" s="2">
        <v>0.306277767</v>
      </c>
      <c r="Q28" s="2">
        <v>1.584030169</v>
      </c>
      <c r="R28" s="2">
        <v>0</v>
      </c>
    </row>
    <row r="29" spans="1:18">
      <c r="A29" t="s">
        <v>198</v>
      </c>
      <c r="B29" s="2">
        <v>3.30819427</v>
      </c>
      <c r="C29" s="2">
        <v>0</v>
      </c>
      <c r="D29" s="2">
        <v>0.183788571</v>
      </c>
      <c r="E29" s="2">
        <v>2.118503203</v>
      </c>
      <c r="F29" s="2">
        <v>0</v>
      </c>
      <c r="G29" s="2">
        <v>1.739985957</v>
      </c>
      <c r="H29" s="2">
        <f>province_share!N29</f>
        <v>0.0378584014018789</v>
      </c>
      <c r="I29" s="2">
        <v>0</v>
      </c>
      <c r="J29" s="2">
        <v>0.352846622</v>
      </c>
      <c r="K29" s="2">
        <v>0.776262568</v>
      </c>
      <c r="L29" s="2">
        <v>0</v>
      </c>
      <c r="M29" s="2">
        <v>0</v>
      </c>
      <c r="N29" s="2">
        <v>0</v>
      </c>
      <c r="O29" s="2">
        <v>0.800024635</v>
      </c>
      <c r="P29" s="2">
        <v>1.268933918</v>
      </c>
      <c r="Q29" s="2">
        <v>0.210359744</v>
      </c>
      <c r="R29" s="2">
        <v>0</v>
      </c>
    </row>
    <row r="30" spans="1:18">
      <c r="A30" t="s">
        <v>200</v>
      </c>
      <c r="B30" s="2">
        <v>0.257303999</v>
      </c>
      <c r="C30" s="2">
        <v>0</v>
      </c>
      <c r="D30" s="2">
        <v>0</v>
      </c>
      <c r="E30" s="2">
        <v>1.630458944</v>
      </c>
      <c r="F30" s="2">
        <v>0</v>
      </c>
      <c r="G30" s="2">
        <v>0</v>
      </c>
      <c r="H30" s="2">
        <f>province_share!N30</f>
        <v>0.00633353026505648</v>
      </c>
      <c r="I30" s="2">
        <v>0</v>
      </c>
      <c r="J30" s="2">
        <v>0</v>
      </c>
      <c r="K30" s="2">
        <v>0.1618420375</v>
      </c>
      <c r="L30" s="2">
        <v>0</v>
      </c>
      <c r="M30" s="2">
        <v>0</v>
      </c>
      <c r="N30" s="2">
        <v>0</v>
      </c>
      <c r="O30" s="2">
        <v>0.08092101875</v>
      </c>
      <c r="P30" s="2">
        <v>0</v>
      </c>
      <c r="Q30" s="2">
        <v>0.064736815</v>
      </c>
      <c r="R30" s="2">
        <v>0</v>
      </c>
    </row>
    <row r="31" spans="1:18">
      <c r="A31" t="s">
        <v>202</v>
      </c>
      <c r="B31" s="2">
        <v>0.330819427</v>
      </c>
      <c r="C31" s="2">
        <v>0</v>
      </c>
      <c r="D31" s="2">
        <v>0.009189429</v>
      </c>
      <c r="E31" s="2">
        <v>1.173681515</v>
      </c>
      <c r="F31" s="2">
        <v>0</v>
      </c>
      <c r="G31" s="2">
        <v>0.553858191</v>
      </c>
      <c r="H31" s="2">
        <f>province_share!N31</f>
        <v>0.0769759282961907</v>
      </c>
      <c r="I31" s="2">
        <v>0.294038852</v>
      </c>
      <c r="J31" s="2">
        <v>1.646617568</v>
      </c>
      <c r="K31" s="2">
        <v>1.99946419</v>
      </c>
      <c r="L31" s="2">
        <v>0.987530409</v>
      </c>
      <c r="M31" s="2">
        <v>6.912712859</v>
      </c>
      <c r="N31" s="2">
        <v>1.537547346</v>
      </c>
      <c r="O31" s="2">
        <v>0.112503464</v>
      </c>
      <c r="P31" s="2">
        <v>11.799925434</v>
      </c>
      <c r="Q31" s="2">
        <v>1.470590151</v>
      </c>
      <c r="R31">
        <f>3.27*(I31+L31)-SUM(B31:D31)</f>
        <v>3.85072262747</v>
      </c>
    </row>
  </sheetData>
  <conditionalFormatting sqref="H1:M1 P1:R1 H32:H1048576">
    <cfRule type="colorScale" priority="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="77" zoomScaleNormal="77" workbookViewId="0">
      <selection activeCell="E48" sqref="E48"/>
    </sheetView>
  </sheetViews>
  <sheetFormatPr defaultColWidth="9" defaultRowHeight="14"/>
  <cols>
    <col min="1" max="1" width="15.2166666666667" customWidth="1"/>
    <col min="2" max="3" width="15.3333333333333" customWidth="1"/>
    <col min="4" max="5" width="17.5583333333333" customWidth="1"/>
    <col min="6" max="8" width="15.3333333333333" customWidth="1"/>
    <col min="9" max="9" width="17.4416666666667" customWidth="1"/>
    <col min="10" max="12" width="16.6666666666667" customWidth="1"/>
    <col min="14" max="14" width="15" customWidth="1"/>
  </cols>
  <sheetData>
    <row r="1" spans="1:14">
      <c r="A1" s="4" t="s">
        <v>139</v>
      </c>
      <c r="B1" s="4" t="s">
        <v>242</v>
      </c>
      <c r="C1" s="4" t="s">
        <v>243</v>
      </c>
      <c r="D1" s="21" t="s">
        <v>244</v>
      </c>
      <c r="E1" s="21" t="s">
        <v>245</v>
      </c>
      <c r="F1" s="21" t="s">
        <v>246</v>
      </c>
      <c r="G1" s="4" t="s">
        <v>240</v>
      </c>
      <c r="H1" s="22" t="s">
        <v>247</v>
      </c>
      <c r="I1" s="4" t="s">
        <v>248</v>
      </c>
      <c r="J1" s="4" t="s">
        <v>249</v>
      </c>
      <c r="K1" s="21" t="s">
        <v>250</v>
      </c>
      <c r="L1" s="21" t="s">
        <v>251</v>
      </c>
      <c r="M1" s="21" t="s">
        <v>252</v>
      </c>
      <c r="N1" s="4" t="s">
        <v>253</v>
      </c>
    </row>
    <row r="2" spans="1:14">
      <c r="A2" t="s">
        <v>144</v>
      </c>
      <c r="B2" s="2">
        <f>I2</f>
        <v>0.056113150680099</v>
      </c>
      <c r="C2" s="2">
        <f>J2</f>
        <v>0.0403424167834149</v>
      </c>
      <c r="D2" s="2">
        <f t="shared" ref="D2:G2" si="0">K2</f>
        <v>0.0118117221071681</v>
      </c>
      <c r="E2" s="2">
        <f t="shared" si="0"/>
        <v>0.037510380795906</v>
      </c>
      <c r="F2" s="2">
        <f t="shared" si="0"/>
        <v>0</v>
      </c>
      <c r="G2" s="2">
        <f t="shared" si="0"/>
        <v>0</v>
      </c>
      <c r="H2" s="2">
        <f>province_structure!R2/SUM(province_structure!R$2:R$31)</f>
        <v>0.201912379464777</v>
      </c>
      <c r="I2" s="2">
        <v>0.056113150680099</v>
      </c>
      <c r="J2" s="2">
        <v>0.0403424167834149</v>
      </c>
      <c r="K2" s="2">
        <v>0.0118117221071681</v>
      </c>
      <c r="L2" s="2">
        <v>0.037510380795906</v>
      </c>
      <c r="M2" s="2">
        <v>0</v>
      </c>
      <c r="N2" s="2">
        <v>0</v>
      </c>
    </row>
    <row r="3" spans="1:14">
      <c r="A3" t="s">
        <v>146</v>
      </c>
      <c r="B3" s="2">
        <f t="shared" ref="B3:B31" si="1">I3</f>
        <v>0</v>
      </c>
      <c r="C3" s="2">
        <f t="shared" ref="C3:C31" si="2">J3</f>
        <v>0</v>
      </c>
      <c r="D3" s="2">
        <f t="shared" ref="D3:D31" si="3">K3</f>
        <v>0.0187018932972947</v>
      </c>
      <c r="E3" s="2">
        <f t="shared" ref="E3:E31" si="4">L3</f>
        <v>0.0130198730156309</v>
      </c>
      <c r="F3" s="2">
        <f t="shared" ref="F3:F31" si="5">M3</f>
        <v>0.00930332111775993</v>
      </c>
      <c r="G3" s="2">
        <f t="shared" ref="G3:G31" si="6">N3</f>
        <v>0.0218631548571806</v>
      </c>
      <c r="H3" s="2">
        <f>province_structure!R3/SUM(province_structure!R$2:R$31)</f>
        <v>0</v>
      </c>
      <c r="I3" s="2">
        <v>0</v>
      </c>
      <c r="J3" s="2">
        <v>0</v>
      </c>
      <c r="K3" s="2">
        <v>0.0187018932972947</v>
      </c>
      <c r="L3" s="2">
        <v>0.0130198730156309</v>
      </c>
      <c r="M3" s="2">
        <v>0.00930332111775993</v>
      </c>
      <c r="N3" s="2">
        <v>0.0218631548571806</v>
      </c>
    </row>
    <row r="4" spans="1:14">
      <c r="A4" t="s">
        <v>148</v>
      </c>
      <c r="B4" s="2">
        <f t="shared" si="1"/>
        <v>0.0229644566960738</v>
      </c>
      <c r="C4" s="2">
        <f t="shared" si="2"/>
        <v>0.0380807964586251</v>
      </c>
      <c r="D4" s="2">
        <f t="shared" si="3"/>
        <v>0</v>
      </c>
      <c r="E4" s="2">
        <f t="shared" si="4"/>
        <v>0</v>
      </c>
      <c r="F4" s="2">
        <f t="shared" si="5"/>
        <v>0</v>
      </c>
      <c r="G4" s="2">
        <f t="shared" si="6"/>
        <v>0</v>
      </c>
      <c r="H4" s="2">
        <f>province_structure!R4/SUM(province_structure!R$2:R$31)</f>
        <v>0</v>
      </c>
      <c r="I4" s="2">
        <v>0.0229644566960738</v>
      </c>
      <c r="J4" s="2">
        <v>0.0380807964586251</v>
      </c>
      <c r="K4" s="2">
        <v>0</v>
      </c>
      <c r="L4" s="2">
        <v>0</v>
      </c>
      <c r="M4" s="2">
        <v>0</v>
      </c>
      <c r="N4" s="2">
        <v>0</v>
      </c>
    </row>
    <row r="5" spans="1:14">
      <c r="A5" t="s">
        <v>150</v>
      </c>
      <c r="B5" s="2">
        <f t="shared" si="1"/>
        <v>0</v>
      </c>
      <c r="C5" s="2">
        <f t="shared" si="2"/>
        <v>0.00281174419836304</v>
      </c>
      <c r="D5" s="2">
        <f t="shared" si="3"/>
        <v>0.0610272308424012</v>
      </c>
      <c r="E5" s="2">
        <f t="shared" si="4"/>
        <v>0.0433521614253712</v>
      </c>
      <c r="F5" s="2">
        <f t="shared" si="5"/>
        <v>0.0655197723404038</v>
      </c>
      <c r="G5" s="2">
        <f t="shared" si="6"/>
        <v>0.0762505215136833</v>
      </c>
      <c r="H5" s="2">
        <f>province_structure!R5/SUM(province_structure!R$2:R$31)</f>
        <v>0</v>
      </c>
      <c r="I5" s="2">
        <v>0</v>
      </c>
      <c r="J5" s="2">
        <v>0.00281174419836304</v>
      </c>
      <c r="K5" s="2">
        <v>0.0610272308424012</v>
      </c>
      <c r="L5" s="2">
        <v>0.0433521614253712</v>
      </c>
      <c r="M5" s="2">
        <v>0.0655197723404038</v>
      </c>
      <c r="N5" s="2">
        <v>0.0762505215136833</v>
      </c>
    </row>
    <row r="6" spans="1:14">
      <c r="A6" t="s">
        <v>152</v>
      </c>
      <c r="B6" s="2">
        <f t="shared" si="1"/>
        <v>0.0145974068104161</v>
      </c>
      <c r="C6" s="2">
        <f t="shared" si="2"/>
        <v>0.0105134783219612</v>
      </c>
      <c r="D6" s="2">
        <f t="shared" si="3"/>
        <v>0.0531196723266699</v>
      </c>
      <c r="E6" s="2">
        <f t="shared" si="4"/>
        <v>0.0086665391398125</v>
      </c>
      <c r="F6" s="2">
        <f t="shared" si="5"/>
        <v>0.00521298332391872</v>
      </c>
      <c r="G6" s="2">
        <f t="shared" si="6"/>
        <v>0.0275779484288717</v>
      </c>
      <c r="H6" s="2">
        <f>province_structure!R6/SUM(province_structure!R$2:R$31)</f>
        <v>0</v>
      </c>
      <c r="I6" s="2">
        <v>0.0145974068104161</v>
      </c>
      <c r="J6" s="2">
        <v>0.0105134783219612</v>
      </c>
      <c r="K6" s="2">
        <v>0.0531196723266699</v>
      </c>
      <c r="L6" s="2">
        <v>0.0086665391398125</v>
      </c>
      <c r="M6" s="2">
        <v>0.00521298332391872</v>
      </c>
      <c r="N6" s="2">
        <v>0.0275779484288717</v>
      </c>
    </row>
    <row r="7" spans="1:14">
      <c r="A7" t="s">
        <v>154</v>
      </c>
      <c r="B7" s="2">
        <f t="shared" si="1"/>
        <v>0.0059907278239923</v>
      </c>
      <c r="C7" s="2">
        <f t="shared" si="2"/>
        <v>0</v>
      </c>
      <c r="D7" s="2">
        <f t="shared" si="3"/>
        <v>0.083075778751233</v>
      </c>
      <c r="E7" s="2">
        <f t="shared" si="4"/>
        <v>0.0879341713848959</v>
      </c>
      <c r="F7" s="2">
        <f t="shared" si="5"/>
        <v>0.0544361489288603</v>
      </c>
      <c r="G7" s="2">
        <f t="shared" si="6"/>
        <v>0.115246329068828</v>
      </c>
      <c r="H7" s="2">
        <f>province_structure!R7/SUM(province_structure!R$2:R$31)</f>
        <v>0</v>
      </c>
      <c r="I7" s="2">
        <v>0.0059907278239923</v>
      </c>
      <c r="J7" s="2">
        <v>0</v>
      </c>
      <c r="K7" s="2">
        <v>0.083075778751233</v>
      </c>
      <c r="L7" s="2">
        <v>0.0879341713848959</v>
      </c>
      <c r="M7" s="2">
        <v>0.0544361489288603</v>
      </c>
      <c r="N7" s="2">
        <v>0.115246329068828</v>
      </c>
    </row>
    <row r="8" spans="1:14">
      <c r="A8" t="s">
        <v>156</v>
      </c>
      <c r="B8" s="2">
        <f t="shared" si="1"/>
        <v>0.00439320041602681</v>
      </c>
      <c r="C8" s="2">
        <f t="shared" si="2"/>
        <v>0.0122249747864812</v>
      </c>
      <c r="D8" s="2">
        <f t="shared" si="3"/>
        <v>0.0281676025281574</v>
      </c>
      <c r="E8" s="2">
        <f t="shared" si="4"/>
        <v>0.0103481064466102</v>
      </c>
      <c r="F8" s="2">
        <f t="shared" si="5"/>
        <v>0.00622445770682599</v>
      </c>
      <c r="G8" s="2">
        <f t="shared" si="6"/>
        <v>0.0329288936814593</v>
      </c>
      <c r="H8" s="2">
        <f>province_structure!R8/SUM(province_structure!R$2:R$31)</f>
        <v>0</v>
      </c>
      <c r="I8" s="2">
        <v>0.00439320041602681</v>
      </c>
      <c r="J8" s="2">
        <v>0.0122249747864812</v>
      </c>
      <c r="K8" s="2">
        <v>0.0281676025281574</v>
      </c>
      <c r="L8" s="2">
        <v>0.0103481064466102</v>
      </c>
      <c r="M8" s="2">
        <v>0.00622445770682599</v>
      </c>
      <c r="N8" s="2">
        <v>0.0329288936814593</v>
      </c>
    </row>
    <row r="9" spans="1:14">
      <c r="A9" t="s">
        <v>158</v>
      </c>
      <c r="B9" s="2">
        <f t="shared" si="1"/>
        <v>0.0319505484320622</v>
      </c>
      <c r="C9" s="2">
        <f t="shared" si="2"/>
        <v>0.0183374621863734</v>
      </c>
      <c r="D9" s="2">
        <f t="shared" si="3"/>
        <v>0.00590586105358406</v>
      </c>
      <c r="E9" s="2">
        <f t="shared" si="4"/>
        <v>0</v>
      </c>
      <c r="F9" s="2">
        <f t="shared" si="5"/>
        <v>0</v>
      </c>
      <c r="G9" s="2">
        <f t="shared" si="6"/>
        <v>0</v>
      </c>
      <c r="H9" s="2">
        <f>province_structure!R9/SUM(province_structure!R$2:R$31)</f>
        <v>0</v>
      </c>
      <c r="I9" s="2">
        <v>0.0319505484320622</v>
      </c>
      <c r="J9" s="2">
        <v>0.0183374621863734</v>
      </c>
      <c r="K9" s="2">
        <v>0.00590586105358406</v>
      </c>
      <c r="L9" s="2">
        <v>0</v>
      </c>
      <c r="M9" s="2">
        <v>0</v>
      </c>
      <c r="N9" s="2">
        <v>0</v>
      </c>
    </row>
    <row r="10" spans="1:14">
      <c r="A10" t="s">
        <v>160</v>
      </c>
      <c r="B10" s="2">
        <f t="shared" si="1"/>
        <v>0.014976819576025</v>
      </c>
      <c r="C10" s="2">
        <f t="shared" si="2"/>
        <v>0.017114964698413</v>
      </c>
      <c r="D10" s="2">
        <f t="shared" si="3"/>
        <v>0</v>
      </c>
      <c r="E10" s="2">
        <f t="shared" si="4"/>
        <v>0</v>
      </c>
      <c r="F10" s="2">
        <f t="shared" si="5"/>
        <v>0.0250161180072324</v>
      </c>
      <c r="G10" s="2">
        <f t="shared" si="6"/>
        <v>0</v>
      </c>
      <c r="H10" s="2">
        <f>province_structure!R10/SUM(province_structure!R$2:R$31)</f>
        <v>0</v>
      </c>
      <c r="I10" s="2">
        <v>0.014976819576025</v>
      </c>
      <c r="J10" s="2">
        <v>0.017114964698413</v>
      </c>
      <c r="K10" s="2">
        <v>0</v>
      </c>
      <c r="L10" s="2">
        <v>0</v>
      </c>
      <c r="M10" s="2">
        <v>0.0250161180072324</v>
      </c>
      <c r="N10" s="2">
        <v>0</v>
      </c>
    </row>
    <row r="11" spans="1:14">
      <c r="A11" t="s">
        <v>162</v>
      </c>
      <c r="B11" s="2">
        <f t="shared" si="1"/>
        <v>0.0396999046988677</v>
      </c>
      <c r="C11" s="2">
        <f t="shared" si="2"/>
        <v>0.0511608715599712</v>
      </c>
      <c r="D11" s="2">
        <f t="shared" si="3"/>
        <v>0.028816808406506</v>
      </c>
      <c r="E11" s="2">
        <f t="shared" si="4"/>
        <v>0.0259597161135212</v>
      </c>
      <c r="F11" s="2">
        <f t="shared" si="5"/>
        <v>0.00636791878161092</v>
      </c>
      <c r="G11" s="2">
        <f t="shared" si="6"/>
        <v>0.0336878376250964</v>
      </c>
      <c r="H11" s="2">
        <f>province_structure!R11/SUM(province_structure!R$2:R$31)</f>
        <v>0</v>
      </c>
      <c r="I11" s="2">
        <v>0.0396999046988677</v>
      </c>
      <c r="J11" s="2">
        <v>0.0511608715599712</v>
      </c>
      <c r="K11" s="2">
        <v>0.028816808406506</v>
      </c>
      <c r="L11" s="2">
        <v>0.0259597161135212</v>
      </c>
      <c r="M11" s="2">
        <v>0.00636791878161092</v>
      </c>
      <c r="N11" s="2">
        <v>0.0336878376250964</v>
      </c>
    </row>
    <row r="12" spans="1:14">
      <c r="A12" t="s">
        <v>164</v>
      </c>
      <c r="B12" s="2">
        <f t="shared" si="1"/>
        <v>0.0227647657600504</v>
      </c>
      <c r="C12" s="2">
        <f t="shared" si="2"/>
        <v>0.00987777962449686</v>
      </c>
      <c r="D12" s="2">
        <f t="shared" si="3"/>
        <v>0.0236234442143362</v>
      </c>
      <c r="E12" s="2">
        <f t="shared" si="4"/>
        <v>0.0141432583272375</v>
      </c>
      <c r="F12" s="2">
        <f t="shared" si="5"/>
        <v>0.0323008258659633</v>
      </c>
      <c r="G12" s="2">
        <f t="shared" si="6"/>
        <v>0.0291445664013497</v>
      </c>
      <c r="H12" s="2">
        <f>province_structure!R12/SUM(province_structure!R$2:R$31)</f>
        <v>0</v>
      </c>
      <c r="I12" s="2">
        <v>0.0227647657600504</v>
      </c>
      <c r="J12" s="2">
        <v>0.00987777962449686</v>
      </c>
      <c r="K12" s="2">
        <v>0.0236234442143362</v>
      </c>
      <c r="L12" s="2">
        <v>0.0141432583272375</v>
      </c>
      <c r="M12" s="2">
        <v>0.0323008258659633</v>
      </c>
      <c r="N12" s="2">
        <v>0.0291445664013497</v>
      </c>
    </row>
    <row r="13" spans="1:14">
      <c r="A13" t="s">
        <v>166</v>
      </c>
      <c r="B13" s="2">
        <f t="shared" si="1"/>
        <v>0.0799385758977688</v>
      </c>
      <c r="C13" s="2">
        <f t="shared" si="2"/>
        <v>0.0592911277004653</v>
      </c>
      <c r="D13" s="2">
        <f t="shared" si="3"/>
        <v>0.0100399638011355</v>
      </c>
      <c r="E13" s="2">
        <f t="shared" si="4"/>
        <v>0.00643816511929092</v>
      </c>
      <c r="F13" s="2">
        <f t="shared" si="5"/>
        <v>0.0066012794572484</v>
      </c>
      <c r="G13" s="2">
        <f t="shared" si="6"/>
        <v>0.00483290793763048</v>
      </c>
      <c r="H13" s="2">
        <f>province_structure!R13/SUM(province_structure!R$2:R$31)</f>
        <v>0</v>
      </c>
      <c r="I13" s="2">
        <v>0.0799385758977688</v>
      </c>
      <c r="J13" s="2">
        <v>0.0592911277004653</v>
      </c>
      <c r="K13" s="2">
        <v>0.0100399638011355</v>
      </c>
      <c r="L13" s="2">
        <v>0.00643816511929092</v>
      </c>
      <c r="M13" s="2">
        <v>0.0066012794572484</v>
      </c>
      <c r="N13" s="2">
        <v>0.00483290793763048</v>
      </c>
    </row>
    <row r="14" spans="1:14">
      <c r="A14" t="s">
        <v>168</v>
      </c>
      <c r="B14" s="2">
        <f t="shared" si="1"/>
        <v>0.0462519980085982</v>
      </c>
      <c r="C14" s="2">
        <f t="shared" si="2"/>
        <v>0.00476774017111775</v>
      </c>
      <c r="D14" s="2">
        <f t="shared" si="3"/>
        <v>0.0216548238408245</v>
      </c>
      <c r="E14" s="2">
        <f t="shared" si="4"/>
        <v>0.0113375501500454</v>
      </c>
      <c r="F14" s="2">
        <f t="shared" si="5"/>
        <v>0.00478526828867451</v>
      </c>
      <c r="G14" s="2">
        <f t="shared" si="6"/>
        <v>0.0253152319666692</v>
      </c>
      <c r="H14" s="2">
        <f>province_structure!R14/SUM(province_structure!R$2:R$31)</f>
        <v>0</v>
      </c>
      <c r="I14" s="2">
        <v>0.0462519980085982</v>
      </c>
      <c r="J14" s="2">
        <v>0.00476774017111775</v>
      </c>
      <c r="K14" s="2">
        <v>0.0216548238408245</v>
      </c>
      <c r="L14" s="2">
        <v>0.0113375501500454</v>
      </c>
      <c r="M14" s="2">
        <v>0.00478526828867451</v>
      </c>
      <c r="N14" s="2">
        <v>0.0253152319666692</v>
      </c>
    </row>
    <row r="15" spans="1:14">
      <c r="A15" t="s">
        <v>170</v>
      </c>
      <c r="B15" s="2">
        <f t="shared" si="1"/>
        <v>0.00599072784003656</v>
      </c>
      <c r="C15" s="2">
        <f t="shared" si="2"/>
        <v>0.00256724470343162</v>
      </c>
      <c r="D15" s="2">
        <f t="shared" si="3"/>
        <v>0</v>
      </c>
      <c r="E15" s="2">
        <f t="shared" si="4"/>
        <v>0</v>
      </c>
      <c r="F15" s="2">
        <f t="shared" si="5"/>
        <v>0</v>
      </c>
      <c r="G15" s="2">
        <f t="shared" si="6"/>
        <v>0</v>
      </c>
      <c r="H15" s="2">
        <f>province_structure!R15/SUM(province_structure!R$2:R$31)</f>
        <v>0</v>
      </c>
      <c r="I15" s="2">
        <v>0.00599072784003656</v>
      </c>
      <c r="J15" s="2">
        <v>0.00256724470343162</v>
      </c>
      <c r="K15" s="2">
        <v>0</v>
      </c>
      <c r="L15" s="2">
        <v>0</v>
      </c>
      <c r="M15" s="2">
        <v>0</v>
      </c>
      <c r="N15" s="2">
        <v>0</v>
      </c>
    </row>
    <row r="16" spans="1:14">
      <c r="A16" t="s">
        <v>172</v>
      </c>
      <c r="B16" s="2">
        <f t="shared" si="1"/>
        <v>0.0793687610701271</v>
      </c>
      <c r="C16" s="2">
        <f t="shared" si="2"/>
        <v>0.186142761627827</v>
      </c>
      <c r="D16" s="2">
        <f t="shared" si="3"/>
        <v>0.026519958908957</v>
      </c>
      <c r="E16" s="2">
        <f t="shared" si="4"/>
        <v>0.0450486340007232</v>
      </c>
      <c r="F16" s="2">
        <f t="shared" si="5"/>
        <v>0.00194514302413638</v>
      </c>
      <c r="G16" s="2">
        <f t="shared" si="6"/>
        <v>0.0102902792265385</v>
      </c>
      <c r="H16" s="2">
        <f>province_structure!R16/SUM(province_structure!R$2:R$31)</f>
        <v>0</v>
      </c>
      <c r="I16" s="2">
        <v>0.0793687610701271</v>
      </c>
      <c r="J16" s="2">
        <v>0.186142761627827</v>
      </c>
      <c r="K16" s="2">
        <v>0.026519958908957</v>
      </c>
      <c r="L16" s="2">
        <v>0.0450486340007232</v>
      </c>
      <c r="M16" s="2">
        <v>0.00194514302413638</v>
      </c>
      <c r="N16" s="2">
        <v>0.0102902792265385</v>
      </c>
    </row>
    <row r="17" spans="1:14">
      <c r="A17" t="s">
        <v>174</v>
      </c>
      <c r="B17" s="2">
        <f t="shared" si="1"/>
        <v>0.0539855389002104</v>
      </c>
      <c r="C17" s="2">
        <f t="shared" si="2"/>
        <v>0.015342343363486</v>
      </c>
      <c r="D17" s="2">
        <f t="shared" si="3"/>
        <v>0.0894560773211602</v>
      </c>
      <c r="E17" s="2">
        <f t="shared" si="4"/>
        <v>0.0974931692671948</v>
      </c>
      <c r="F17" s="2">
        <f t="shared" si="5"/>
        <v>0.0767193298940454</v>
      </c>
      <c r="G17" s="2">
        <f t="shared" si="6"/>
        <v>0.0416239454003118</v>
      </c>
      <c r="H17" s="2">
        <f>province_structure!R17/SUM(province_structure!R$2:R$31)</f>
        <v>0.396560275830855</v>
      </c>
      <c r="I17" s="2">
        <v>0.0539855389002104</v>
      </c>
      <c r="J17" s="2">
        <v>0.015342343363486</v>
      </c>
      <c r="K17" s="2">
        <v>0.0894560773211602</v>
      </c>
      <c r="L17" s="2">
        <v>0.0974931692671948</v>
      </c>
      <c r="M17" s="2">
        <v>0.0767193298940454</v>
      </c>
      <c r="N17" s="2">
        <v>0.0416239454003118</v>
      </c>
    </row>
    <row r="18" spans="1:14">
      <c r="A18" t="s">
        <v>176</v>
      </c>
      <c r="B18" s="2">
        <f t="shared" si="1"/>
        <v>0.0207678564800382</v>
      </c>
      <c r="C18" s="2">
        <f t="shared" si="2"/>
        <v>0</v>
      </c>
      <c r="D18" s="2">
        <f t="shared" si="3"/>
        <v>0</v>
      </c>
      <c r="E18" s="2">
        <f t="shared" si="4"/>
        <v>0</v>
      </c>
      <c r="F18" s="2">
        <f t="shared" si="5"/>
        <v>0.0105310327940092</v>
      </c>
      <c r="G18" s="2">
        <f t="shared" si="6"/>
        <v>0</v>
      </c>
      <c r="H18" s="2">
        <f>province_structure!R18/SUM(province_structure!R$2:R$31)</f>
        <v>0</v>
      </c>
      <c r="I18" s="2">
        <v>0.0207678564800382</v>
      </c>
      <c r="J18" s="2">
        <v>0</v>
      </c>
      <c r="K18" s="2">
        <v>0</v>
      </c>
      <c r="L18" s="2">
        <v>0</v>
      </c>
      <c r="M18" s="2">
        <v>0.0105310327940092</v>
      </c>
      <c r="N18" s="2">
        <v>0</v>
      </c>
    </row>
    <row r="19" spans="1:14">
      <c r="A19" t="s">
        <v>178</v>
      </c>
      <c r="B19" s="2">
        <f t="shared" si="1"/>
        <v>0.0119814556640289</v>
      </c>
      <c r="C19" s="2">
        <f t="shared" si="2"/>
        <v>0</v>
      </c>
      <c r="D19" s="2">
        <f t="shared" si="3"/>
        <v>0.019095617365302</v>
      </c>
      <c r="E19" s="2">
        <f t="shared" si="4"/>
        <v>0.0167566865022827</v>
      </c>
      <c r="F19" s="2">
        <f t="shared" si="5"/>
        <v>0.0165768261189216</v>
      </c>
      <c r="G19" s="2">
        <f t="shared" si="6"/>
        <v>0.0184222741616899</v>
      </c>
      <c r="H19" s="2">
        <f>province_structure!R19/SUM(province_structure!R$2:R$31)</f>
        <v>0.0722947698619015</v>
      </c>
      <c r="I19" s="2">
        <v>0.0119814556640289</v>
      </c>
      <c r="J19" s="2">
        <v>0</v>
      </c>
      <c r="K19" s="2">
        <v>0.019095617365302</v>
      </c>
      <c r="L19" s="2">
        <v>0.0167566865022827</v>
      </c>
      <c r="M19" s="2">
        <v>0.0165768261189216</v>
      </c>
      <c r="N19" s="2">
        <v>0.0184222741616899</v>
      </c>
    </row>
    <row r="20" spans="1:14">
      <c r="A20" t="s">
        <v>180</v>
      </c>
      <c r="B20" s="2">
        <f t="shared" si="1"/>
        <v>0.0253607477999999</v>
      </c>
      <c r="C20" s="2">
        <f t="shared" si="2"/>
        <v>0.0102689788137265</v>
      </c>
      <c r="D20" s="2">
        <f t="shared" si="3"/>
        <v>0.0846506750232619</v>
      </c>
      <c r="E20" s="2">
        <f t="shared" si="4"/>
        <v>0.0210242609814674</v>
      </c>
      <c r="F20" s="2">
        <f t="shared" si="5"/>
        <v>0.148944280210625</v>
      </c>
      <c r="G20" s="2">
        <f t="shared" si="6"/>
        <v>0.0954066256522752</v>
      </c>
      <c r="H20" s="2">
        <f>province_structure!R20/SUM(province_structure!R$2:R$31)</f>
        <v>0</v>
      </c>
      <c r="I20" s="2">
        <v>0.0253607477999999</v>
      </c>
      <c r="J20" s="2">
        <v>0.0102689788137265</v>
      </c>
      <c r="K20" s="2">
        <v>0.0846506750232619</v>
      </c>
      <c r="L20" s="2">
        <v>0.0210242609814674</v>
      </c>
      <c r="M20" s="2">
        <v>0.148944280210625</v>
      </c>
      <c r="N20" s="2">
        <v>0.0954066256522752</v>
      </c>
    </row>
    <row r="21" spans="1:14">
      <c r="A21" t="s">
        <v>182</v>
      </c>
      <c r="B21" s="2">
        <f t="shared" si="1"/>
        <v>0.0428052087613504</v>
      </c>
      <c r="C21" s="2">
        <f t="shared" si="2"/>
        <v>0.0784843380991437</v>
      </c>
      <c r="D21" s="2">
        <f t="shared" si="3"/>
        <v>0.0369103846638406</v>
      </c>
      <c r="E21" s="2">
        <f t="shared" si="4"/>
        <v>0.0447664872433372</v>
      </c>
      <c r="F21" s="2">
        <f t="shared" si="5"/>
        <v>0.00563634143321611</v>
      </c>
      <c r="G21" s="2">
        <f t="shared" si="6"/>
        <v>0.0159802187270737</v>
      </c>
      <c r="H21" s="2">
        <f>province_structure!R21/SUM(province_structure!R$2:R$31)</f>
        <v>0.0412064876891741</v>
      </c>
      <c r="I21" s="2">
        <v>0.0428052087613504</v>
      </c>
      <c r="J21" s="2">
        <v>0.0784843380991437</v>
      </c>
      <c r="K21" s="2">
        <v>0.0369103846638406</v>
      </c>
      <c r="L21" s="2">
        <v>0.0447664872433372</v>
      </c>
      <c r="M21" s="2">
        <v>0.00563634143321611</v>
      </c>
      <c r="N21" s="2">
        <v>0.0159802187270737</v>
      </c>
    </row>
    <row r="22" spans="1:14">
      <c r="A22" t="s">
        <v>184</v>
      </c>
      <c r="B22" s="2">
        <f t="shared" si="1"/>
        <v>0.00798763710400449</v>
      </c>
      <c r="C22" s="2">
        <f t="shared" si="2"/>
        <v>0.0244499495729624</v>
      </c>
      <c r="D22" s="2">
        <f t="shared" si="3"/>
        <v>0</v>
      </c>
      <c r="E22" s="2">
        <f t="shared" si="4"/>
        <v>0</v>
      </c>
      <c r="F22" s="2">
        <f t="shared" si="5"/>
        <v>0</v>
      </c>
      <c r="G22" s="2">
        <f t="shared" si="6"/>
        <v>0</v>
      </c>
      <c r="H22" s="2">
        <f>province_structure!R22/SUM(province_structure!R$2:R$31)</f>
        <v>0</v>
      </c>
      <c r="I22" s="2">
        <v>0.00798763710400449</v>
      </c>
      <c r="J22" s="2">
        <v>0.0244499495729624</v>
      </c>
      <c r="K22" s="2">
        <v>0</v>
      </c>
      <c r="L22" s="2">
        <v>0</v>
      </c>
      <c r="M22" s="2">
        <v>0</v>
      </c>
      <c r="N22" s="2">
        <v>0</v>
      </c>
    </row>
    <row r="23" spans="1:14">
      <c r="A23" t="s">
        <v>186</v>
      </c>
      <c r="B23" s="2">
        <f t="shared" si="1"/>
        <v>0.0311517847040131</v>
      </c>
      <c r="C23" s="2">
        <f t="shared" si="2"/>
        <v>0.125428241312224</v>
      </c>
      <c r="D23" s="2">
        <f t="shared" si="3"/>
        <v>0.034534886604836</v>
      </c>
      <c r="E23" s="2">
        <f t="shared" si="4"/>
        <v>0.0350615453478901</v>
      </c>
      <c r="F23" s="2">
        <f t="shared" si="5"/>
        <v>0.00389028606676624</v>
      </c>
      <c r="G23" s="2">
        <f t="shared" si="6"/>
        <v>0.0205805585509121</v>
      </c>
      <c r="H23" s="2">
        <f>province_structure!R23/SUM(province_structure!R$2:R$31)</f>
        <v>0</v>
      </c>
      <c r="I23" s="2">
        <v>0.0311517847040131</v>
      </c>
      <c r="J23" s="2">
        <v>0.125428241312224</v>
      </c>
      <c r="K23" s="2">
        <v>0.034534886604836</v>
      </c>
      <c r="L23" s="2">
        <v>0.0350615453478901</v>
      </c>
      <c r="M23" s="2">
        <v>0.00389028606676624</v>
      </c>
      <c r="N23" s="2">
        <v>0.0205805585509121</v>
      </c>
    </row>
    <row r="24" spans="1:14">
      <c r="A24" t="s">
        <v>188</v>
      </c>
      <c r="B24" s="2">
        <f t="shared" si="1"/>
        <v>0.10323009303032</v>
      </c>
      <c r="C24" s="2">
        <f t="shared" si="2"/>
        <v>0.0834458238700734</v>
      </c>
      <c r="D24" s="2">
        <f t="shared" si="3"/>
        <v>0.0411441652741337</v>
      </c>
      <c r="E24" s="2">
        <f t="shared" si="4"/>
        <v>0.113170663643187</v>
      </c>
      <c r="F24" s="2">
        <f t="shared" si="5"/>
        <v>0.124032539152632</v>
      </c>
      <c r="G24" s="2">
        <f t="shared" si="6"/>
        <v>0.0988747497206999</v>
      </c>
      <c r="H24" s="2">
        <f>province_structure!R24/SUM(province_structure!R$2:R$31)</f>
        <v>0</v>
      </c>
      <c r="I24" s="2">
        <v>0.10323009303032</v>
      </c>
      <c r="J24" s="2">
        <v>0.0834458238700734</v>
      </c>
      <c r="K24" s="2">
        <v>0.0411441652741337</v>
      </c>
      <c r="L24" s="2">
        <v>0.113170663643187</v>
      </c>
      <c r="M24" s="2">
        <v>0.124032539152632</v>
      </c>
      <c r="N24" s="2">
        <v>0.0988747497206999</v>
      </c>
    </row>
    <row r="25" spans="1:14">
      <c r="A25" t="s">
        <v>190</v>
      </c>
      <c r="B25" s="2">
        <f t="shared" si="1"/>
        <v>0</v>
      </c>
      <c r="C25" s="2">
        <f t="shared" si="2"/>
        <v>0.00972496744847928</v>
      </c>
      <c r="D25" s="2">
        <f t="shared" si="3"/>
        <v>0.0352383042540252</v>
      </c>
      <c r="E25" s="2">
        <f t="shared" si="4"/>
        <v>0.026995175692384</v>
      </c>
      <c r="F25" s="2">
        <f t="shared" si="5"/>
        <v>0.0534525832767632</v>
      </c>
      <c r="G25" s="2">
        <f t="shared" si="6"/>
        <v>0.0667642982775831</v>
      </c>
      <c r="H25" s="2">
        <f>province_structure!R25/SUM(province_structure!R$2:R$31)</f>
        <v>0</v>
      </c>
      <c r="I25" s="2">
        <v>0</v>
      </c>
      <c r="J25" s="2">
        <v>0.00972496744847928</v>
      </c>
      <c r="K25" s="2">
        <v>0.0352383042540252</v>
      </c>
      <c r="L25" s="2">
        <v>0.026995175692384</v>
      </c>
      <c r="M25" s="2">
        <v>0.0534525832767632</v>
      </c>
      <c r="N25" s="2">
        <v>0.0667642982775831</v>
      </c>
    </row>
    <row r="26" spans="1:14">
      <c r="A26" t="s">
        <v>192</v>
      </c>
      <c r="B26" s="2">
        <f t="shared" si="1"/>
        <v>0.104203789059269</v>
      </c>
      <c r="C26" s="2">
        <f t="shared" si="2"/>
        <v>0.128105892212018</v>
      </c>
      <c r="D26" s="2">
        <f t="shared" si="3"/>
        <v>0.0345586514079788</v>
      </c>
      <c r="E26" s="2">
        <f t="shared" si="4"/>
        <v>0.0394277938592048</v>
      </c>
      <c r="F26" s="2">
        <f t="shared" si="5"/>
        <v>0.0117180482264106</v>
      </c>
      <c r="G26" s="2">
        <f t="shared" si="6"/>
        <v>0.0334960948953269</v>
      </c>
      <c r="H26" s="2">
        <f>province_structure!R26/SUM(province_structure!R$2:R$31)</f>
        <v>0</v>
      </c>
      <c r="I26" s="2">
        <v>0.104203789059269</v>
      </c>
      <c r="J26" s="2">
        <v>0.128105892212018</v>
      </c>
      <c r="K26" s="2">
        <v>0.0345586514079788</v>
      </c>
      <c r="L26" s="2">
        <v>0.0394277938592048</v>
      </c>
      <c r="M26" s="2">
        <v>0.0117180482264106</v>
      </c>
      <c r="N26" s="2">
        <v>0.0334960948953269</v>
      </c>
    </row>
    <row r="27" spans="1:14">
      <c r="A27" t="s">
        <v>194</v>
      </c>
      <c r="B27" s="2">
        <f t="shared" si="1"/>
        <v>0.0577416189946323</v>
      </c>
      <c r="C27" s="2">
        <f t="shared" si="2"/>
        <v>0.0110024772985207</v>
      </c>
      <c r="D27" s="2">
        <f t="shared" si="3"/>
        <v>0.0433671124188447</v>
      </c>
      <c r="E27" s="2">
        <f t="shared" si="4"/>
        <v>0.0156805690010785</v>
      </c>
      <c r="F27" s="2">
        <f t="shared" si="5"/>
        <v>0.0218544276572689</v>
      </c>
      <c r="G27" s="2">
        <f t="shared" si="6"/>
        <v>0.0358739604396626</v>
      </c>
      <c r="H27" s="2">
        <f>province_structure!R27/SUM(province_structure!R$2:R$31)</f>
        <v>0</v>
      </c>
      <c r="I27" s="2">
        <v>0.0577416189946323</v>
      </c>
      <c r="J27" s="2">
        <v>0.0110024772985207</v>
      </c>
      <c r="K27" s="2">
        <v>0.0433671124188447</v>
      </c>
      <c r="L27" s="2">
        <v>0.0156805690010785</v>
      </c>
      <c r="M27" s="2">
        <v>0.0218544276572689</v>
      </c>
      <c r="N27" s="2">
        <v>0.0358739604396626</v>
      </c>
    </row>
    <row r="28" spans="1:14">
      <c r="A28" t="s">
        <v>196</v>
      </c>
      <c r="B28" s="2">
        <f t="shared" si="1"/>
        <v>0</v>
      </c>
      <c r="C28" s="2">
        <f t="shared" si="2"/>
        <v>0.00611248738658894</v>
      </c>
      <c r="D28" s="2">
        <f t="shared" si="3"/>
        <v>0.0334665459814682</v>
      </c>
      <c r="E28" s="2">
        <f t="shared" si="4"/>
        <v>0.0292960918668271</v>
      </c>
      <c r="F28" s="2">
        <f t="shared" si="5"/>
        <v>0.0349583929440419</v>
      </c>
      <c r="G28" s="2">
        <f t="shared" si="6"/>
        <v>0.074671743504032</v>
      </c>
      <c r="H28" s="2">
        <f>province_structure!R28/SUM(province_structure!R$2:R$31)</f>
        <v>0</v>
      </c>
      <c r="I28" s="2">
        <v>0</v>
      </c>
      <c r="J28" s="2">
        <v>0.00611248738658894</v>
      </c>
      <c r="K28" s="2">
        <v>0.0334665459814682</v>
      </c>
      <c r="L28" s="2">
        <v>0.0292960918668271</v>
      </c>
      <c r="M28" s="2">
        <v>0.0349583929440419</v>
      </c>
      <c r="N28" s="2">
        <v>0.074671743504032</v>
      </c>
    </row>
    <row r="29" spans="1:14">
      <c r="A29" t="s">
        <v>198</v>
      </c>
      <c r="B29" s="2">
        <f t="shared" si="1"/>
        <v>0.0619066134926683</v>
      </c>
      <c r="C29" s="2">
        <f t="shared" si="2"/>
        <v>0.0464549041833072</v>
      </c>
      <c r="D29" s="2">
        <f t="shared" si="3"/>
        <v>0.0377975107295477</v>
      </c>
      <c r="E29" s="2">
        <f t="shared" si="4"/>
        <v>0.0196775768170153</v>
      </c>
      <c r="F29" s="2">
        <f t="shared" si="5"/>
        <v>0.0273573041359896</v>
      </c>
      <c r="G29" s="2">
        <f t="shared" si="6"/>
        <v>0.0378584014018789</v>
      </c>
      <c r="H29" s="2">
        <f>province_structure!R29/SUM(province_structure!R$2:R$31)</f>
        <v>0</v>
      </c>
      <c r="I29" s="2">
        <v>0.0619066134926683</v>
      </c>
      <c r="J29" s="2">
        <v>0.0464549041833072</v>
      </c>
      <c r="K29" s="2">
        <v>0.0377975107295477</v>
      </c>
      <c r="L29" s="2">
        <v>0.0196775768170153</v>
      </c>
      <c r="M29" s="2">
        <v>0.0273573041359896</v>
      </c>
      <c r="N29" s="2">
        <v>0.0378584014018789</v>
      </c>
    </row>
    <row r="30" spans="1:14">
      <c r="A30" t="s">
        <v>200</v>
      </c>
      <c r="B30" s="2">
        <f t="shared" si="1"/>
        <v>0.026159511528049</v>
      </c>
      <c r="C30" s="2">
        <f t="shared" si="2"/>
        <v>0.00342299294234326</v>
      </c>
      <c r="D30" s="2">
        <f t="shared" si="3"/>
        <v>0.00541774542539869</v>
      </c>
      <c r="E30" s="2">
        <f t="shared" si="4"/>
        <v>0.0019903506628446</v>
      </c>
      <c r="F30" s="2">
        <f t="shared" si="5"/>
        <v>0.00119720971044781</v>
      </c>
      <c r="G30" s="2">
        <f t="shared" si="6"/>
        <v>0.00633353026505648</v>
      </c>
      <c r="H30" s="2">
        <f>province_structure!R30/SUM(province_structure!R$2:R$31)</f>
        <v>0</v>
      </c>
      <c r="I30" s="2">
        <v>0.026159511528049</v>
      </c>
      <c r="J30" s="2">
        <v>0.00342299294234326</v>
      </c>
      <c r="K30" s="2">
        <v>0.00541774542539869</v>
      </c>
      <c r="L30" s="2">
        <v>0.0019903506628446</v>
      </c>
      <c r="M30" s="2">
        <v>0.00119720971044781</v>
      </c>
      <c r="N30" s="2">
        <v>0.00633353026505648</v>
      </c>
    </row>
    <row r="31" spans="1:14">
      <c r="A31" t="s">
        <v>202</v>
      </c>
      <c r="B31" s="2">
        <f t="shared" si="1"/>
        <v>0.0277171007712718</v>
      </c>
      <c r="C31" s="2">
        <f t="shared" si="2"/>
        <v>0.00452324067618633</v>
      </c>
      <c r="D31" s="2">
        <f t="shared" si="3"/>
        <v>0.131897563451934</v>
      </c>
      <c r="E31" s="2">
        <f t="shared" si="4"/>
        <v>0.234901073196242</v>
      </c>
      <c r="F31" s="2">
        <f t="shared" si="5"/>
        <v>0.245418161536228</v>
      </c>
      <c r="G31" s="2">
        <f t="shared" si="6"/>
        <v>0.0769759282961907</v>
      </c>
      <c r="H31" s="2">
        <f>province_structure!R31/SUM(province_structure!R$2:R$31)</f>
        <v>0.288026087153292</v>
      </c>
      <c r="I31" s="2">
        <v>0.0277171007712718</v>
      </c>
      <c r="J31" s="2">
        <v>0.00452324067618633</v>
      </c>
      <c r="K31" s="2">
        <v>0.131897563451934</v>
      </c>
      <c r="L31" s="2">
        <v>0.234901073196242</v>
      </c>
      <c r="M31" s="2">
        <v>0.245418161536228</v>
      </c>
      <c r="N31" s="2">
        <v>0.0769759282961907</v>
      </c>
    </row>
    <row r="32" spans="1:14">
      <c r="A32" s="4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39" sqref="I39"/>
    </sheetView>
  </sheetViews>
  <sheetFormatPr defaultColWidth="9" defaultRowHeight="14" outlineLevelRow="1"/>
  <sheetData>
    <row r="1" spans="1:11">
      <c r="A1" t="s">
        <v>254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t="s">
        <v>255</v>
      </c>
      <c r="B2" t="s">
        <v>256</v>
      </c>
      <c r="C2">
        <v>616</v>
      </c>
      <c r="D2">
        <v>583.8</v>
      </c>
      <c r="E2">
        <v>551.6</v>
      </c>
      <c r="F2">
        <v>533.05</v>
      </c>
      <c r="G2">
        <v>514.5</v>
      </c>
      <c r="H2">
        <v>500.7415</v>
      </c>
      <c r="I2">
        <v>486.983</v>
      </c>
      <c r="J2">
        <v>457.3415</v>
      </c>
      <c r="K2">
        <v>427.7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I11" sqref="I11"/>
    </sheetView>
  </sheetViews>
  <sheetFormatPr defaultColWidth="9" defaultRowHeight="14" outlineLevelCol="5"/>
  <sheetData>
    <row r="1" spans="1:6">
      <c r="A1" t="s">
        <v>257</v>
      </c>
      <c r="B1">
        <v>2020</v>
      </c>
      <c r="C1">
        <v>2030</v>
      </c>
      <c r="D1">
        <v>2040</v>
      </c>
      <c r="E1">
        <v>2050</v>
      </c>
      <c r="F1">
        <v>2060</v>
      </c>
    </row>
    <row r="2" spans="1:6">
      <c r="A2" t="s">
        <v>144</v>
      </c>
      <c r="B2">
        <v>440.034748995356</v>
      </c>
      <c r="C2">
        <v>381.141999106983</v>
      </c>
      <c r="D2">
        <v>342.24924921861</v>
      </c>
      <c r="E2">
        <v>322.802874274424</v>
      </c>
      <c r="F2">
        <v>293.356499330237</v>
      </c>
    </row>
    <row r="3" spans="1:6">
      <c r="A3" t="s">
        <v>146</v>
      </c>
      <c r="B3">
        <v>394.27106738073</v>
      </c>
      <c r="C3">
        <v>340.463171005093</v>
      </c>
      <c r="D3">
        <v>306.655274629457</v>
      </c>
      <c r="E3">
        <v>289.751326441638</v>
      </c>
      <c r="F3">
        <v>262.84737825382</v>
      </c>
    </row>
    <row r="4" spans="1:6">
      <c r="A4" t="s">
        <v>148</v>
      </c>
      <c r="B4">
        <v>401.51937955923</v>
      </c>
      <c r="C4">
        <v>346.90611516376</v>
      </c>
      <c r="D4">
        <v>312.29285076829</v>
      </c>
      <c r="E4">
        <v>294.986218570555</v>
      </c>
      <c r="F4">
        <v>267.67958637282</v>
      </c>
    </row>
    <row r="5" spans="1:6">
      <c r="A5" t="s">
        <v>150</v>
      </c>
      <c r="B5">
        <v>915.477243014138</v>
      </c>
      <c r="C5">
        <v>803.7575493459</v>
      </c>
      <c r="D5">
        <v>712.037855677662</v>
      </c>
      <c r="E5">
        <v>666.178008843544</v>
      </c>
      <c r="F5">
        <v>610.318162009425</v>
      </c>
    </row>
    <row r="6" spans="1:6">
      <c r="A6" t="s">
        <v>152</v>
      </c>
      <c r="B6">
        <v>470.879101356242</v>
      </c>
      <c r="C6">
        <v>408.559201205548</v>
      </c>
      <c r="D6">
        <v>366.239301054854</v>
      </c>
      <c r="E6">
        <v>345.079350979508</v>
      </c>
      <c r="F6">
        <v>313.919400904161</v>
      </c>
    </row>
    <row r="7" spans="1:6">
      <c r="A7" t="s">
        <v>154</v>
      </c>
      <c r="B7">
        <v>1002.4126942361</v>
      </c>
      <c r="C7">
        <v>881.033505987645</v>
      </c>
      <c r="D7">
        <v>779.654317739189</v>
      </c>
      <c r="E7">
        <v>728.964723614961</v>
      </c>
      <c r="F7">
        <v>668.275129490734</v>
      </c>
    </row>
    <row r="8" spans="1:6">
      <c r="A8" t="s">
        <v>156</v>
      </c>
      <c r="B8">
        <v>1010.8024698009</v>
      </c>
      <c r="C8">
        <v>888.491084267466</v>
      </c>
      <c r="D8">
        <v>786.179698734033</v>
      </c>
      <c r="E8">
        <v>735.024005967316</v>
      </c>
      <c r="F8">
        <v>673.8683132006</v>
      </c>
    </row>
    <row r="9" spans="1:6">
      <c r="A9" t="s">
        <v>158</v>
      </c>
      <c r="B9">
        <v>488.9595829902</v>
      </c>
      <c r="C9">
        <v>424.630740435734</v>
      </c>
      <c r="D9">
        <v>380.301897881267</v>
      </c>
      <c r="E9">
        <v>358.137476604034</v>
      </c>
      <c r="F9">
        <v>325.9730553268</v>
      </c>
    </row>
    <row r="10" spans="1:6">
      <c r="A10" t="s">
        <v>160</v>
      </c>
      <c r="B10">
        <v>1005</v>
      </c>
      <c r="C10">
        <v>870</v>
      </c>
      <c r="D10">
        <v>795</v>
      </c>
      <c r="E10">
        <v>737.5</v>
      </c>
      <c r="F10">
        <v>670</v>
      </c>
    </row>
    <row r="11" spans="1:6">
      <c r="A11" t="s">
        <v>162</v>
      </c>
      <c r="B11">
        <v>424.945982530423</v>
      </c>
      <c r="C11">
        <v>367.729762249265</v>
      </c>
      <c r="D11">
        <v>330.513541968107</v>
      </c>
      <c r="E11">
        <v>311.905431827528</v>
      </c>
      <c r="F11">
        <v>283.297321686949</v>
      </c>
    </row>
    <row r="12" spans="1:6">
      <c r="A12" t="s">
        <v>164</v>
      </c>
      <c r="B12">
        <v>398.302204522152</v>
      </c>
      <c r="C12">
        <v>344.046404019691</v>
      </c>
      <c r="D12">
        <v>309.790603517229</v>
      </c>
      <c r="E12">
        <v>292.662703265999</v>
      </c>
      <c r="F12">
        <v>265.534803014768</v>
      </c>
    </row>
    <row r="13" spans="1:6">
      <c r="A13" t="s">
        <v>166</v>
      </c>
      <c r="B13">
        <v>403.516476580342</v>
      </c>
      <c r="C13">
        <v>348.68131251586</v>
      </c>
      <c r="D13">
        <v>313.846148451377</v>
      </c>
      <c r="E13">
        <v>296.428566419136</v>
      </c>
      <c r="F13">
        <v>269.010984386895</v>
      </c>
    </row>
    <row r="14" spans="1:6">
      <c r="A14" t="s">
        <v>168</v>
      </c>
      <c r="B14">
        <v>428.233875466148</v>
      </c>
      <c r="C14">
        <v>370.652333747687</v>
      </c>
      <c r="D14">
        <v>333.070792029226</v>
      </c>
      <c r="E14">
        <v>314.280021169996</v>
      </c>
      <c r="F14">
        <v>285.489250310765</v>
      </c>
    </row>
    <row r="15" spans="1:6">
      <c r="A15" t="s">
        <v>170</v>
      </c>
      <c r="B15">
        <v>529.293936231</v>
      </c>
      <c r="C15">
        <v>460.483498872</v>
      </c>
      <c r="D15">
        <v>411.673061513</v>
      </c>
      <c r="E15">
        <v>387.2678428335</v>
      </c>
      <c r="F15">
        <v>352.862624154</v>
      </c>
    </row>
    <row r="16" spans="1:6">
      <c r="A16" t="s">
        <v>172</v>
      </c>
      <c r="B16">
        <v>430.570241168271</v>
      </c>
      <c r="C16">
        <v>372.729103260686</v>
      </c>
      <c r="D16">
        <v>334.8879653531</v>
      </c>
      <c r="E16">
        <v>315.967396399307</v>
      </c>
      <c r="F16">
        <v>287.046827445514</v>
      </c>
    </row>
    <row r="17" spans="1:6">
      <c r="A17" t="s">
        <v>174</v>
      </c>
      <c r="B17">
        <v>450.418672779754</v>
      </c>
      <c r="C17">
        <v>390.372153582003</v>
      </c>
      <c r="D17">
        <v>350.325634384253</v>
      </c>
      <c r="E17">
        <v>330.302374785378</v>
      </c>
      <c r="F17">
        <v>300.279115186502</v>
      </c>
    </row>
    <row r="18" spans="1:6">
      <c r="A18" t="s">
        <v>176</v>
      </c>
      <c r="B18">
        <v>572.880842339175</v>
      </c>
      <c r="C18">
        <v>499.2274154126</v>
      </c>
      <c r="D18">
        <v>445.573988486025</v>
      </c>
      <c r="E18">
        <v>418.747275022738</v>
      </c>
      <c r="F18">
        <v>381.92056155945</v>
      </c>
    </row>
    <row r="19" spans="1:6">
      <c r="A19" t="s">
        <v>178</v>
      </c>
      <c r="B19">
        <v>451.080419647185</v>
      </c>
      <c r="C19">
        <v>390.96037301972</v>
      </c>
      <c r="D19">
        <v>350.840326392255</v>
      </c>
      <c r="E19">
        <v>330.780303078522</v>
      </c>
      <c r="F19">
        <v>300.72027976479</v>
      </c>
    </row>
    <row r="20" spans="1:6">
      <c r="A20" t="s">
        <v>180</v>
      </c>
      <c r="B20">
        <v>424.309215240755</v>
      </c>
      <c r="C20">
        <v>367.163746880671</v>
      </c>
      <c r="D20">
        <v>330.018278520588</v>
      </c>
      <c r="E20">
        <v>311.445544340546</v>
      </c>
      <c r="F20">
        <v>282.872810160504</v>
      </c>
    </row>
    <row r="21" spans="1:6">
      <c r="A21" t="s">
        <v>182</v>
      </c>
      <c r="B21">
        <v>464.7394263861</v>
      </c>
      <c r="C21">
        <v>403.1017123432</v>
      </c>
      <c r="D21">
        <v>361.4639983003</v>
      </c>
      <c r="E21">
        <v>340.64514127885</v>
      </c>
      <c r="F21">
        <v>309.8262842574</v>
      </c>
    </row>
    <row r="22" spans="1:6">
      <c r="A22" t="s">
        <v>184</v>
      </c>
      <c r="B22">
        <v>552.2769734121</v>
      </c>
      <c r="C22">
        <v>480.9128652552</v>
      </c>
      <c r="D22">
        <v>429.5487570983</v>
      </c>
      <c r="E22">
        <v>403.86670301985</v>
      </c>
      <c r="F22">
        <v>368.1846489414</v>
      </c>
    </row>
    <row r="23" spans="1:6">
      <c r="A23" t="s">
        <v>186</v>
      </c>
      <c r="B23">
        <v>418.687533922905</v>
      </c>
      <c r="C23">
        <v>362.16669682036</v>
      </c>
      <c r="D23">
        <v>325.645859717815</v>
      </c>
      <c r="E23">
        <v>307.385441166542</v>
      </c>
      <c r="F23">
        <v>279.12502261527</v>
      </c>
    </row>
    <row r="24" spans="1:6">
      <c r="A24" t="s">
        <v>188</v>
      </c>
      <c r="B24">
        <v>442.165467499589</v>
      </c>
      <c r="C24">
        <v>383.035971110745</v>
      </c>
      <c r="D24">
        <v>343.906474721902</v>
      </c>
      <c r="E24">
        <v>324.341726527481</v>
      </c>
      <c r="F24">
        <v>294.776978333059</v>
      </c>
    </row>
    <row r="25" spans="1:6">
      <c r="A25" t="s">
        <v>190</v>
      </c>
      <c r="B25">
        <v>582.62104807785</v>
      </c>
      <c r="C25">
        <v>507.8853760692</v>
      </c>
      <c r="D25">
        <v>453.14970406055</v>
      </c>
      <c r="E25">
        <v>425.781868056225</v>
      </c>
      <c r="F25">
        <v>388.4140320519</v>
      </c>
    </row>
    <row r="26" spans="1:6">
      <c r="A26" t="s">
        <v>192</v>
      </c>
      <c r="B26">
        <v>385.142261325149</v>
      </c>
      <c r="C26">
        <v>332.348676733465</v>
      </c>
      <c r="D26">
        <v>299.555092141782</v>
      </c>
      <c r="E26">
        <v>283.158299845941</v>
      </c>
      <c r="F26">
        <v>256.761507550099</v>
      </c>
    </row>
    <row r="27" spans="1:6">
      <c r="A27" t="s">
        <v>194</v>
      </c>
      <c r="B27">
        <v>476.49509586477</v>
      </c>
      <c r="C27">
        <v>413.55119632424</v>
      </c>
      <c r="D27">
        <v>370.60729678371</v>
      </c>
      <c r="E27">
        <v>349.135347013445</v>
      </c>
      <c r="F27">
        <v>317.66339724318</v>
      </c>
    </row>
    <row r="28" spans="1:6">
      <c r="A28" t="s">
        <v>196</v>
      </c>
      <c r="B28">
        <v>394.27106738073</v>
      </c>
      <c r="C28">
        <v>340.463171005093</v>
      </c>
      <c r="D28">
        <v>306.655274629457</v>
      </c>
      <c r="E28">
        <v>289.751326441638</v>
      </c>
      <c r="F28">
        <v>262.84737825382</v>
      </c>
    </row>
    <row r="29" spans="1:6">
      <c r="A29" t="s">
        <v>198</v>
      </c>
      <c r="B29">
        <v>415.292606081398</v>
      </c>
      <c r="C29">
        <v>359.148983183465</v>
      </c>
      <c r="D29">
        <v>323.005360285532</v>
      </c>
      <c r="E29">
        <v>304.933548836565</v>
      </c>
      <c r="F29">
        <v>276.861737387599</v>
      </c>
    </row>
    <row r="30" spans="1:6">
      <c r="A30" t="s">
        <v>200</v>
      </c>
      <c r="B30">
        <v>754.0668160561</v>
      </c>
      <c r="C30">
        <v>660.281614272089</v>
      </c>
      <c r="D30">
        <v>586.496412488078</v>
      </c>
      <c r="E30">
        <v>549.603811596072</v>
      </c>
      <c r="F30">
        <v>502.711210704067</v>
      </c>
    </row>
    <row r="31" spans="1:6">
      <c r="A31" t="s">
        <v>202</v>
      </c>
      <c r="B31">
        <v>644.6381349678</v>
      </c>
      <c r="C31">
        <v>563.011675526934</v>
      </c>
      <c r="D31">
        <v>501.385216086067</v>
      </c>
      <c r="E31">
        <v>470.571986365634</v>
      </c>
      <c r="F31">
        <v>429.7587566452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J27" sqref="J27"/>
    </sheetView>
  </sheetViews>
  <sheetFormatPr defaultColWidth="9" defaultRowHeight="14"/>
  <cols>
    <col min="9" max="9" width="11.6666666666667" customWidth="1"/>
    <col min="11" max="11" width="13.1083333333333" customWidth="1"/>
  </cols>
  <sheetData>
    <row r="1" spans="1:12">
      <c r="A1" t="s">
        <v>254</v>
      </c>
      <c r="B1" s="4" t="s">
        <v>258</v>
      </c>
      <c r="C1" t="s">
        <v>72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ht="15.5" spans="1:12">
      <c r="A2" s="8" t="s">
        <v>259</v>
      </c>
      <c r="B2" s="4" t="s">
        <v>114</v>
      </c>
      <c r="C2" s="4" t="s">
        <v>223</v>
      </c>
      <c r="D2" s="20">
        <v>60</v>
      </c>
      <c r="E2" s="20">
        <v>56.5</v>
      </c>
      <c r="F2" s="20">
        <v>58.5</v>
      </c>
      <c r="G2" s="20">
        <v>58.625</v>
      </c>
      <c r="H2" s="20">
        <v>61.75</v>
      </c>
      <c r="I2" s="20">
        <v>67.875</v>
      </c>
      <c r="J2" s="20">
        <v>80.5</v>
      </c>
      <c r="K2" s="20">
        <v>95</v>
      </c>
      <c r="L2" s="20">
        <v>108</v>
      </c>
    </row>
    <row r="3" ht="15.5" spans="1:12">
      <c r="A3" s="8" t="s">
        <v>259</v>
      </c>
      <c r="B3" s="4" t="s">
        <v>260</v>
      </c>
      <c r="C3" s="4" t="s">
        <v>223</v>
      </c>
      <c r="D3" s="20">
        <v>69.9993</v>
      </c>
      <c r="E3" s="20">
        <v>77.66</v>
      </c>
      <c r="F3" s="20">
        <v>87.75</v>
      </c>
      <c r="G3" s="20">
        <v>95.55</v>
      </c>
      <c r="H3" s="20">
        <v>109.48</v>
      </c>
      <c r="I3" s="20">
        <v>123.69</v>
      </c>
      <c r="J3" s="20">
        <v>138.18</v>
      </c>
      <c r="K3" s="20">
        <v>152.145</v>
      </c>
      <c r="L3" s="20">
        <v>166.25</v>
      </c>
    </row>
    <row r="4" ht="15.5" spans="1:12">
      <c r="A4" s="8" t="s">
        <v>259</v>
      </c>
      <c r="B4" s="4" t="s">
        <v>261</v>
      </c>
      <c r="C4" s="4" t="s">
        <v>223</v>
      </c>
      <c r="D4" s="20">
        <v>700</v>
      </c>
      <c r="E4" s="20">
        <v>735</v>
      </c>
      <c r="F4" s="20">
        <v>770</v>
      </c>
      <c r="G4" s="20">
        <v>722.5</v>
      </c>
      <c r="H4" s="20">
        <v>675</v>
      </c>
      <c r="I4" s="20">
        <v>627.5</v>
      </c>
      <c r="J4" s="20">
        <v>580</v>
      </c>
      <c r="K4" s="20">
        <v>570</v>
      </c>
      <c r="L4" s="20">
        <v>560</v>
      </c>
    </row>
    <row r="5" ht="15.5" spans="1:12">
      <c r="A5" s="8" t="s">
        <v>262</v>
      </c>
      <c r="B5" s="4" t="s">
        <v>114</v>
      </c>
      <c r="C5" s="4" t="s">
        <v>223</v>
      </c>
      <c r="D5" s="20">
        <v>60</v>
      </c>
      <c r="E5" s="20">
        <v>56.5</v>
      </c>
      <c r="F5" s="20">
        <v>60.5</v>
      </c>
      <c r="G5" s="20">
        <v>67.625</v>
      </c>
      <c r="H5" s="20">
        <v>77.9875</v>
      </c>
      <c r="I5" s="20">
        <v>90.3625</v>
      </c>
      <c r="J5" s="20">
        <v>103</v>
      </c>
      <c r="K5" s="20">
        <v>117.5</v>
      </c>
      <c r="L5" s="20">
        <v>132</v>
      </c>
    </row>
    <row r="6" ht="15.5" spans="1:12">
      <c r="A6" s="8" t="s">
        <v>262</v>
      </c>
      <c r="B6" s="4" t="s">
        <v>260</v>
      </c>
      <c r="C6" s="4" t="s">
        <v>223</v>
      </c>
      <c r="D6" s="20">
        <v>69.9993</v>
      </c>
      <c r="E6" s="20">
        <v>78.1</v>
      </c>
      <c r="F6" s="20">
        <v>86.85</v>
      </c>
      <c r="G6" s="20">
        <v>93.275</v>
      </c>
      <c r="H6" s="20">
        <v>103.04</v>
      </c>
      <c r="I6" s="20">
        <v>119.04</v>
      </c>
      <c r="J6" s="20">
        <v>142.88</v>
      </c>
      <c r="K6" s="20">
        <v>169.155</v>
      </c>
      <c r="L6" s="20">
        <v>198.55</v>
      </c>
    </row>
    <row r="7" ht="15.5" spans="1:12">
      <c r="A7" s="8" t="s">
        <v>262</v>
      </c>
      <c r="B7" s="4" t="s">
        <v>261</v>
      </c>
      <c r="C7" s="4" t="s">
        <v>223</v>
      </c>
      <c r="D7" s="20">
        <v>700</v>
      </c>
      <c r="E7" s="20">
        <v>735</v>
      </c>
      <c r="F7" s="20">
        <v>768.052900652647</v>
      </c>
      <c r="G7" s="20">
        <v>714.627338651197</v>
      </c>
      <c r="H7" s="20">
        <v>663.064612037708</v>
      </c>
      <c r="I7" s="20">
        <v>610.993292240754</v>
      </c>
      <c r="J7" s="20">
        <v>560.529006526468</v>
      </c>
      <c r="K7" s="20">
        <v>545.786149383611</v>
      </c>
      <c r="L7" s="20">
        <v>531.213324873096</v>
      </c>
    </row>
    <row r="8" ht="15.5" spans="1:12">
      <c r="A8" s="8" t="s">
        <v>263</v>
      </c>
      <c r="B8" s="4" t="s">
        <v>114</v>
      </c>
      <c r="C8" s="4" t="s">
        <v>223</v>
      </c>
      <c r="D8" s="20">
        <v>60</v>
      </c>
      <c r="E8" s="20">
        <v>56.5</v>
      </c>
      <c r="F8" s="20">
        <v>54.5</v>
      </c>
      <c r="G8" s="20">
        <v>54.625</v>
      </c>
      <c r="H8" s="20">
        <v>55.75</v>
      </c>
      <c r="I8" s="20">
        <v>57.875</v>
      </c>
      <c r="J8" s="20">
        <v>67</v>
      </c>
      <c r="K8" s="20">
        <v>81</v>
      </c>
      <c r="L8" s="20">
        <v>96</v>
      </c>
    </row>
    <row r="9" ht="15.5" spans="1:12">
      <c r="A9" s="8" t="s">
        <v>263</v>
      </c>
      <c r="B9" s="4" t="s">
        <v>260</v>
      </c>
      <c r="C9" s="4" t="s">
        <v>223</v>
      </c>
      <c r="D9" s="20">
        <v>69.9993</v>
      </c>
      <c r="E9" s="20">
        <v>77.66</v>
      </c>
      <c r="F9" s="20">
        <v>87.75</v>
      </c>
      <c r="G9" s="20">
        <v>94.64</v>
      </c>
      <c r="H9" s="20">
        <v>103.96</v>
      </c>
      <c r="I9" s="20">
        <v>110.67</v>
      </c>
      <c r="J9" s="20">
        <v>120.32</v>
      </c>
      <c r="K9" s="20">
        <v>133.245</v>
      </c>
      <c r="L9" s="20">
        <v>140</v>
      </c>
    </row>
    <row r="10" ht="15.5" spans="1:12">
      <c r="A10" s="8" t="s">
        <v>263</v>
      </c>
      <c r="B10" s="4" t="s">
        <v>261</v>
      </c>
      <c r="C10" s="4" t="s">
        <v>223</v>
      </c>
      <c r="D10" s="20">
        <v>700</v>
      </c>
      <c r="E10" s="20">
        <v>735</v>
      </c>
      <c r="F10" s="20">
        <v>770</v>
      </c>
      <c r="G10" s="20">
        <v>717.5</v>
      </c>
      <c r="H10" s="20">
        <v>660</v>
      </c>
      <c r="I10" s="20">
        <v>605</v>
      </c>
      <c r="J10" s="20">
        <v>550</v>
      </c>
      <c r="K10" s="20">
        <v>535</v>
      </c>
      <c r="L10" s="20">
        <v>520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143" zoomScaleNormal="143" workbookViewId="0">
      <selection activeCell="A3" sqref="A3"/>
    </sheetView>
  </sheetViews>
  <sheetFormatPr defaultColWidth="9" defaultRowHeight="14" outlineLevelRow="3"/>
  <cols>
    <col min="1" max="1" width="23.2166666666667" customWidth="1"/>
    <col min="3" max="3" width="14.2166666666667" customWidth="1"/>
    <col min="4" max="4" width="13" customWidth="1"/>
    <col min="5" max="7" width="14.2166666666667" customWidth="1"/>
    <col min="8" max="8" width="8.44166666666667" customWidth="1"/>
    <col min="9" max="9" width="9.88333333333333" customWidth="1"/>
    <col min="10" max="10" width="14.2166666666667" customWidth="1"/>
    <col min="11" max="11" width="9.55833333333333" customWidth="1"/>
  </cols>
  <sheetData>
    <row r="1" spans="1:11">
      <c r="A1" t="s">
        <v>254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ht="15.5" spans="1:11">
      <c r="A2" s="8" t="s">
        <v>264</v>
      </c>
      <c r="B2" s="4" t="s">
        <v>265</v>
      </c>
      <c r="C2">
        <v>550308000000</v>
      </c>
      <c r="D2">
        <v>641686289329.87</v>
      </c>
      <c r="E2">
        <f>F2*1.03</f>
        <v>695059640550</v>
      </c>
      <c r="F2">
        <f>G2*1.09</f>
        <v>674815185000</v>
      </c>
      <c r="G2">
        <f>H2*1.2</f>
        <v>619096500000</v>
      </c>
      <c r="H2">
        <f>I2*1.5</f>
        <v>515913750000</v>
      </c>
      <c r="I2">
        <f>J2*2.5</f>
        <v>343942500000</v>
      </c>
      <c r="J2">
        <f>C2/4</f>
        <v>137577000000</v>
      </c>
      <c r="K2">
        <f>C2*0.1</f>
        <v>55030800000</v>
      </c>
    </row>
    <row r="3" ht="15.5" spans="1:11">
      <c r="A3" s="8" t="s">
        <v>266</v>
      </c>
      <c r="B3" s="4" t="s">
        <v>265</v>
      </c>
      <c r="C3">
        <v>1100308000000</v>
      </c>
      <c r="D3">
        <v>1155364423896.1</v>
      </c>
      <c r="E3">
        <v>1155364423896.1</v>
      </c>
      <c r="F3">
        <v>1039827981506.49</v>
      </c>
      <c r="G3">
        <v>831862385205.192</v>
      </c>
      <c r="H3">
        <v>582303669643.634</v>
      </c>
      <c r="I3">
        <v>275077000000</v>
      </c>
      <c r="J3">
        <v>104529260000</v>
      </c>
      <c r="K3">
        <v>0</v>
      </c>
    </row>
    <row r="4" ht="15.5" spans="1:11">
      <c r="A4" s="8" t="s">
        <v>267</v>
      </c>
      <c r="B4" s="4" t="s">
        <v>265</v>
      </c>
      <c r="C4">
        <f>C3</f>
        <v>1100308000000</v>
      </c>
      <c r="D4">
        <f>$C4*10000</f>
        <v>1.100308e+16</v>
      </c>
      <c r="E4">
        <f t="shared" ref="E4:K4" si="0">$C4*10000</f>
        <v>1.100308e+16</v>
      </c>
      <c r="F4">
        <f t="shared" si="0"/>
        <v>1.100308e+16</v>
      </c>
      <c r="G4">
        <f t="shared" si="0"/>
        <v>1.100308e+16</v>
      </c>
      <c r="H4">
        <f t="shared" si="0"/>
        <v>1.100308e+16</v>
      </c>
      <c r="I4">
        <f t="shared" si="0"/>
        <v>1.100308e+16</v>
      </c>
      <c r="J4">
        <f t="shared" si="0"/>
        <v>1.100308e+16</v>
      </c>
      <c r="K4">
        <f t="shared" si="0"/>
        <v>1.100308e+16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216" zoomScaleNormal="216" workbookViewId="0">
      <selection activeCell="G7" sqref="G7"/>
    </sheetView>
  </sheetViews>
  <sheetFormatPr defaultColWidth="9" defaultRowHeight="14" outlineLevelCol="7"/>
  <cols>
    <col min="2" max="2" width="20" customWidth="1"/>
    <col min="3" max="3" width="13.8833333333333" customWidth="1"/>
    <col min="4" max="4" width="8.88333333333333" style="13"/>
  </cols>
  <sheetData>
    <row r="1" spans="1:8">
      <c r="A1" t="s">
        <v>138</v>
      </c>
      <c r="B1" t="s">
        <v>139</v>
      </c>
      <c r="C1" s="4" t="s">
        <v>268</v>
      </c>
      <c r="D1" s="14" t="s">
        <v>269</v>
      </c>
    </row>
    <row r="2" spans="1:8">
      <c r="A2" t="s">
        <v>143</v>
      </c>
      <c r="B2" t="s">
        <v>144</v>
      </c>
      <c r="C2" s="15">
        <v>6220</v>
      </c>
      <c r="D2" s="13">
        <v>0</v>
      </c>
    </row>
    <row r="3" spans="1:8">
      <c r="A3" t="s">
        <v>145</v>
      </c>
      <c r="B3" t="s">
        <v>146</v>
      </c>
      <c r="C3" s="15">
        <v>20</v>
      </c>
      <c r="D3" s="13">
        <v>0</v>
      </c>
    </row>
    <row r="4" spans="1:8">
      <c r="A4" t="s">
        <v>147</v>
      </c>
      <c r="B4" t="s">
        <v>148</v>
      </c>
      <c r="C4" s="15">
        <v>12505.750834</v>
      </c>
      <c r="D4" s="13">
        <v>0</v>
      </c>
    </row>
    <row r="5" spans="1:8">
      <c r="A5" t="s">
        <v>149</v>
      </c>
      <c r="B5" t="s">
        <v>150</v>
      </c>
      <c r="C5" s="15">
        <v>12678.000992</v>
      </c>
      <c r="D5" s="16">
        <v>1101</v>
      </c>
      <c r="H5" s="17"/>
    </row>
    <row r="6" spans="1:8">
      <c r="A6" t="s">
        <v>151</v>
      </c>
      <c r="B6" t="s">
        <v>152</v>
      </c>
      <c r="C6" s="15">
        <v>27292.633989</v>
      </c>
      <c r="D6" s="13">
        <v>0</v>
      </c>
      <c r="H6" s="18"/>
    </row>
    <row r="7" spans="1:8">
      <c r="A7" t="s">
        <v>153</v>
      </c>
      <c r="B7" t="s">
        <v>154</v>
      </c>
      <c r="C7" s="15">
        <v>27561.403629</v>
      </c>
      <c r="D7" s="16">
        <v>1614</v>
      </c>
    </row>
    <row r="8" spans="1:8">
      <c r="A8" t="s">
        <v>155</v>
      </c>
      <c r="B8" t="s">
        <v>156</v>
      </c>
      <c r="C8" s="15">
        <v>35767.129752</v>
      </c>
      <c r="D8" s="16">
        <v>336</v>
      </c>
    </row>
    <row r="9" spans="1:8">
      <c r="A9" t="s">
        <v>157</v>
      </c>
      <c r="B9" t="s">
        <v>158</v>
      </c>
      <c r="C9" s="15">
        <v>20973.621606</v>
      </c>
      <c r="D9" s="13">
        <v>0</v>
      </c>
    </row>
    <row r="10" spans="1:8">
      <c r="A10" t="s">
        <v>159</v>
      </c>
      <c r="B10" t="s">
        <v>160</v>
      </c>
      <c r="C10" s="15">
        <v>2420</v>
      </c>
      <c r="D10" s="16">
        <v>130</v>
      </c>
    </row>
    <row r="11" spans="1:8">
      <c r="A11" t="s">
        <v>161</v>
      </c>
      <c r="B11" t="s">
        <v>162</v>
      </c>
      <c r="C11" s="15">
        <v>12620</v>
      </c>
      <c r="D11" s="13">
        <v>0</v>
      </c>
    </row>
    <row r="12" spans="1:8">
      <c r="A12" t="s">
        <v>163</v>
      </c>
      <c r="B12" t="s">
        <v>164</v>
      </c>
      <c r="C12" s="15">
        <v>13367.128828</v>
      </c>
      <c r="D12" s="13">
        <v>0</v>
      </c>
    </row>
    <row r="13" spans="1:8">
      <c r="A13" t="s">
        <v>165</v>
      </c>
      <c r="B13" t="s">
        <v>166</v>
      </c>
      <c r="C13" s="15">
        <v>13192.209877</v>
      </c>
      <c r="D13" s="13">
        <v>0</v>
      </c>
    </row>
    <row r="14" spans="1:8">
      <c r="A14" t="s">
        <v>167</v>
      </c>
      <c r="B14" t="s">
        <v>168</v>
      </c>
      <c r="C14" s="15">
        <v>174.356144</v>
      </c>
      <c r="D14" s="13">
        <v>0</v>
      </c>
    </row>
    <row r="15" spans="1:8">
      <c r="A15" t="s">
        <v>169</v>
      </c>
      <c r="B15" t="s">
        <v>170</v>
      </c>
      <c r="C15" s="15">
        <v>23290.010104</v>
      </c>
      <c r="D15" s="13">
        <v>0</v>
      </c>
    </row>
    <row r="16" spans="1:8">
      <c r="A16" t="s">
        <v>171</v>
      </c>
      <c r="B16" t="s">
        <v>172</v>
      </c>
      <c r="C16" s="15">
        <v>7540</v>
      </c>
      <c r="D16" s="13">
        <v>0</v>
      </c>
    </row>
    <row r="17" spans="1:4">
      <c r="A17" t="s">
        <v>173</v>
      </c>
      <c r="B17" t="s">
        <v>174</v>
      </c>
      <c r="C17" s="15">
        <v>6020</v>
      </c>
      <c r="D17" s="16">
        <v>661</v>
      </c>
    </row>
    <row r="18" spans="1:4">
      <c r="A18" t="s">
        <v>175</v>
      </c>
      <c r="B18" t="s">
        <v>176</v>
      </c>
      <c r="C18" s="15">
        <v>7220</v>
      </c>
      <c r="D18" s="13">
        <v>0</v>
      </c>
    </row>
    <row r="19" spans="1:4">
      <c r="A19" t="s">
        <v>177</v>
      </c>
      <c r="B19" t="s">
        <v>178</v>
      </c>
      <c r="C19" s="15">
        <v>11620</v>
      </c>
      <c r="D19" s="13">
        <v>0</v>
      </c>
    </row>
    <row r="20" spans="1:4">
      <c r="A20" t="s">
        <v>179</v>
      </c>
      <c r="B20" t="s">
        <v>180</v>
      </c>
      <c r="C20" s="15">
        <v>10520</v>
      </c>
      <c r="D20" s="16">
        <v>668</v>
      </c>
    </row>
    <row r="21" spans="1:4">
      <c r="A21" t="s">
        <v>181</v>
      </c>
      <c r="B21" t="s">
        <v>182</v>
      </c>
      <c r="C21" s="15">
        <v>2243.797594</v>
      </c>
      <c r="D21" s="13">
        <v>0</v>
      </c>
    </row>
    <row r="22" spans="1:4">
      <c r="A22" t="s">
        <v>183</v>
      </c>
      <c r="B22" t="s">
        <v>184</v>
      </c>
      <c r="C22" s="15">
        <v>55875.946202</v>
      </c>
      <c r="D22" s="13">
        <v>0</v>
      </c>
    </row>
    <row r="23" spans="1:4">
      <c r="A23" t="s">
        <v>185</v>
      </c>
      <c r="B23" t="s">
        <v>186</v>
      </c>
      <c r="C23" s="15">
        <v>17133.109214</v>
      </c>
      <c r="D23" s="13">
        <v>0</v>
      </c>
    </row>
    <row r="24" spans="1:4">
      <c r="A24" t="s">
        <v>187</v>
      </c>
      <c r="B24" t="s">
        <v>188</v>
      </c>
      <c r="C24" s="15">
        <v>3000</v>
      </c>
      <c r="D24" s="16">
        <v>265</v>
      </c>
    </row>
    <row r="25" spans="1:4">
      <c r="A25" t="s">
        <v>189</v>
      </c>
      <c r="B25" t="s">
        <v>190</v>
      </c>
      <c r="C25" s="15">
        <v>0</v>
      </c>
      <c r="D25" s="13">
        <v>0</v>
      </c>
    </row>
    <row r="26" spans="1:4">
      <c r="A26" t="s">
        <v>191</v>
      </c>
      <c r="B26" t="s">
        <v>192</v>
      </c>
      <c r="C26" s="15">
        <v>12686.293582</v>
      </c>
      <c r="D26" s="13">
        <v>0</v>
      </c>
    </row>
    <row r="27" spans="1:4">
      <c r="A27" t="s">
        <v>193</v>
      </c>
      <c r="B27" t="s">
        <v>194</v>
      </c>
      <c r="C27" s="15">
        <v>101722.665042</v>
      </c>
      <c r="D27" s="13">
        <v>0</v>
      </c>
    </row>
    <row r="28" spans="1:4">
      <c r="A28" t="s">
        <v>195</v>
      </c>
      <c r="B28" t="s">
        <v>196</v>
      </c>
      <c r="C28" s="15">
        <v>20</v>
      </c>
      <c r="D28" s="13">
        <v>0</v>
      </c>
    </row>
    <row r="29" spans="1:4">
      <c r="A29" t="s">
        <v>197</v>
      </c>
      <c r="B29" t="s">
        <v>198</v>
      </c>
      <c r="C29" s="19">
        <v>31603.143569</v>
      </c>
      <c r="D29" s="13">
        <v>0</v>
      </c>
    </row>
    <row r="30" spans="1:4">
      <c r="A30" t="s">
        <v>199</v>
      </c>
      <c r="B30" t="s">
        <v>200</v>
      </c>
      <c r="C30" s="19">
        <v>72532.959392</v>
      </c>
      <c r="D30" s="13">
        <v>0</v>
      </c>
    </row>
    <row r="31" spans="1:4">
      <c r="A31" t="s">
        <v>201</v>
      </c>
      <c r="B31" t="s">
        <v>202</v>
      </c>
      <c r="C31" s="19">
        <v>21515</v>
      </c>
      <c r="D31" s="16">
        <v>917</v>
      </c>
    </row>
  </sheetData>
  <conditionalFormatting sqref="C$1:C$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D$1:D$1048576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="147" zoomScaleNormal="147" workbookViewId="0">
      <selection activeCell="D22" sqref="D22"/>
    </sheetView>
  </sheetViews>
  <sheetFormatPr defaultColWidth="9" defaultRowHeight="14" outlineLevelCol="4"/>
  <cols>
    <col min="1" max="1" width="13.1083333333333" style="2" customWidth="1"/>
  </cols>
  <sheetData>
    <row r="1" spans="1:5">
      <c r="A1" t="s">
        <v>139</v>
      </c>
      <c r="B1" t="s">
        <v>270</v>
      </c>
      <c r="C1" t="s">
        <v>271</v>
      </c>
      <c r="D1" t="s">
        <v>272</v>
      </c>
      <c r="E1" t="s">
        <v>273</v>
      </c>
    </row>
    <row r="2" spans="1:5">
      <c r="A2" s="2" t="s">
        <v>144</v>
      </c>
      <c r="B2">
        <v>0.0308911512</v>
      </c>
      <c r="C2">
        <v>0.1905386712</v>
      </c>
      <c r="D2">
        <v>0.1011516504</v>
      </c>
      <c r="E2">
        <v>0.2471055576</v>
      </c>
    </row>
    <row r="3" spans="1:5">
      <c r="A3" s="2" t="s">
        <v>146</v>
      </c>
      <c r="B3">
        <v>0.000943642875</v>
      </c>
      <c r="C3">
        <v>0.021913423275</v>
      </c>
      <c r="D3">
        <v>0.012928927275</v>
      </c>
      <c r="E3">
        <v>0.032814504075</v>
      </c>
    </row>
    <row r="4" spans="1:5">
      <c r="A4" s="2" t="s">
        <v>148</v>
      </c>
      <c r="B4">
        <v>0.0077417136</v>
      </c>
      <c r="C4">
        <v>0.0910993344</v>
      </c>
      <c r="D4">
        <v>0.0966084864</v>
      </c>
      <c r="E4">
        <v>0.1492493184</v>
      </c>
    </row>
    <row r="5" spans="1:5">
      <c r="A5" s="2" t="s">
        <v>150</v>
      </c>
      <c r="B5">
        <v>0.0171217548</v>
      </c>
      <c r="C5">
        <v>0.0964521708</v>
      </c>
      <c r="D5">
        <v>0.15888771</v>
      </c>
      <c r="E5">
        <v>0.218443902</v>
      </c>
    </row>
    <row r="6" spans="1:5">
      <c r="A6" s="2" t="s">
        <v>152</v>
      </c>
      <c r="B6">
        <v>0.0080608704</v>
      </c>
      <c r="C6">
        <v>0.1247984736</v>
      </c>
      <c r="D6">
        <v>0.142579248</v>
      </c>
      <c r="E6">
        <v>0.2260485216</v>
      </c>
    </row>
    <row r="7" spans="1:5">
      <c r="A7" s="2" t="s">
        <v>154</v>
      </c>
      <c r="B7">
        <v>0.0168700872</v>
      </c>
      <c r="C7">
        <v>0.163838916</v>
      </c>
      <c r="D7">
        <v>0.1180632552</v>
      </c>
      <c r="E7">
        <v>0.2408477352</v>
      </c>
    </row>
    <row r="8" spans="1:5">
      <c r="A8" s="2" t="s">
        <v>156</v>
      </c>
      <c r="B8">
        <v>0.0349643976</v>
      </c>
      <c r="C8">
        <v>0.172506708</v>
      </c>
      <c r="D8">
        <v>0.4234496712</v>
      </c>
      <c r="E8">
        <v>0.4989497544</v>
      </c>
    </row>
    <row r="9" spans="1:5">
      <c r="A9" s="2" t="s">
        <v>158</v>
      </c>
      <c r="B9">
        <v>0.0115325472</v>
      </c>
      <c r="C9">
        <v>0.1673767296</v>
      </c>
      <c r="D9">
        <v>0.4306408704</v>
      </c>
      <c r="E9">
        <v>0.4977549696</v>
      </c>
    </row>
    <row r="10" spans="1:5">
      <c r="A10" s="2" t="s">
        <v>160</v>
      </c>
      <c r="B10">
        <v>0.004674093</v>
      </c>
      <c r="C10">
        <v>0.0215543298</v>
      </c>
      <c r="D10">
        <v>0.020768925</v>
      </c>
      <c r="E10">
        <v>0.033889941</v>
      </c>
    </row>
    <row r="11" spans="1:5">
      <c r="A11" s="2" t="s">
        <v>162</v>
      </c>
      <c r="B11">
        <v>0.0315280728</v>
      </c>
      <c r="C11">
        <v>0.198843132</v>
      </c>
      <c r="D11">
        <v>0.1083998424</v>
      </c>
      <c r="E11">
        <v>0.263483196</v>
      </c>
    </row>
    <row r="12" spans="1:5">
      <c r="A12" s="2" t="s">
        <v>164</v>
      </c>
      <c r="B12">
        <v>0.0470185008</v>
      </c>
      <c r="C12">
        <v>0.0709972656</v>
      </c>
      <c r="D12">
        <v>0.0645118896</v>
      </c>
      <c r="E12">
        <v>0.0843619632</v>
      </c>
    </row>
    <row r="13" spans="1:5">
      <c r="A13" s="2" t="s">
        <v>166</v>
      </c>
      <c r="B13">
        <v>0.0458343984</v>
      </c>
      <c r="C13">
        <v>0.2346811056</v>
      </c>
      <c r="D13">
        <v>0.082669368</v>
      </c>
      <c r="E13">
        <v>0.262661496</v>
      </c>
    </row>
    <row r="14" spans="1:5">
      <c r="A14" s="2" t="s">
        <v>168</v>
      </c>
      <c r="B14">
        <v>0.0238670376</v>
      </c>
      <c r="C14">
        <v>0.2014625448</v>
      </c>
      <c r="D14">
        <v>0.368581188</v>
      </c>
      <c r="E14">
        <v>0.4837138344</v>
      </c>
    </row>
    <row r="15" spans="1:5">
      <c r="A15" s="2" t="s">
        <v>170</v>
      </c>
      <c r="B15">
        <v>0.0277446072</v>
      </c>
      <c r="C15">
        <v>0.2197128696</v>
      </c>
      <c r="D15">
        <v>0.3112856952</v>
      </c>
      <c r="E15">
        <v>0.435010572</v>
      </c>
    </row>
    <row r="16" spans="1:5">
      <c r="A16" s="2" t="s">
        <v>174</v>
      </c>
      <c r="B16">
        <v>0.0226837848</v>
      </c>
      <c r="C16">
        <v>0.1743656856</v>
      </c>
      <c r="D16">
        <v>0.0383857752</v>
      </c>
      <c r="E16">
        <v>0.1851222552</v>
      </c>
    </row>
    <row r="17" spans="1:5">
      <c r="A17" s="2" t="s">
        <v>176</v>
      </c>
      <c r="B17">
        <v>0.020904756</v>
      </c>
      <c r="C17">
        <v>0.190222068</v>
      </c>
      <c r="D17">
        <v>0.2472460296</v>
      </c>
      <c r="E17">
        <v>0.3610612488</v>
      </c>
    </row>
    <row r="18" spans="1:5">
      <c r="A18" s="2" t="s">
        <v>178</v>
      </c>
      <c r="B18">
        <v>0.0322122216</v>
      </c>
      <c r="C18">
        <v>0.107581668</v>
      </c>
      <c r="D18">
        <v>0.0767538408</v>
      </c>
      <c r="E18">
        <v>0.1402040808</v>
      </c>
    </row>
    <row r="19" spans="1:5">
      <c r="A19" s="2" t="s">
        <v>180</v>
      </c>
      <c r="B19">
        <v>0.0219315576</v>
      </c>
      <c r="C19">
        <v>0.1281248376</v>
      </c>
      <c r="D19">
        <v>0.0707948472</v>
      </c>
      <c r="E19">
        <v>0.16083966</v>
      </c>
    </row>
    <row r="20" spans="1:5">
      <c r="A20" s="2" t="s">
        <v>172</v>
      </c>
      <c r="B20">
        <v>0.0250226376</v>
      </c>
      <c r="C20">
        <v>0.1188523464</v>
      </c>
      <c r="D20">
        <v>0.2450666568</v>
      </c>
      <c r="E20">
        <v>0.3185560392</v>
      </c>
    </row>
    <row r="21" spans="1:5">
      <c r="A21" s="2" t="s">
        <v>182</v>
      </c>
      <c r="B21">
        <v>0.00231530955</v>
      </c>
      <c r="C21">
        <v>0.02537548635</v>
      </c>
      <c r="D21">
        <v>0.04752782715</v>
      </c>
      <c r="E21">
        <v>0.05811133755</v>
      </c>
    </row>
    <row r="22" spans="1:5">
      <c r="A22" s="2" t="s">
        <v>184</v>
      </c>
      <c r="B22">
        <v>0.0014002017</v>
      </c>
      <c r="C22">
        <v>0.0045640665</v>
      </c>
      <c r="D22">
        <v>0.0144042729</v>
      </c>
      <c r="E22">
        <v>0.0158634297</v>
      </c>
    </row>
    <row r="23" spans="1:5">
      <c r="A23" s="2" t="s">
        <v>186</v>
      </c>
      <c r="B23">
        <v>0.0118831344</v>
      </c>
      <c r="C23">
        <v>0.2002505904</v>
      </c>
      <c r="D23">
        <v>0.2264077104</v>
      </c>
      <c r="E23">
        <v>0.3662570928</v>
      </c>
    </row>
    <row r="24" spans="1:5">
      <c r="A24" s="2" t="s">
        <v>188</v>
      </c>
      <c r="B24">
        <v>0.0426768576</v>
      </c>
      <c r="C24">
        <v>0.2644564416</v>
      </c>
      <c r="D24">
        <v>0.0862732608</v>
      </c>
      <c r="E24">
        <v>0.291919392</v>
      </c>
    </row>
    <row r="25" spans="1:5">
      <c r="A25" s="2" t="s">
        <v>190</v>
      </c>
      <c r="B25">
        <v>0.0005846592</v>
      </c>
      <c r="C25">
        <v>0.0193867452</v>
      </c>
      <c r="D25">
        <v>0.000803835000000001</v>
      </c>
      <c r="E25">
        <v>0.0195624228</v>
      </c>
    </row>
    <row r="26" spans="1:5">
      <c r="A26" s="2" t="s">
        <v>192</v>
      </c>
      <c r="B26">
        <v>0.0115555092</v>
      </c>
      <c r="C26">
        <v>0.1403058996</v>
      </c>
      <c r="D26">
        <v>0.23284389</v>
      </c>
      <c r="E26">
        <v>0.3046406004</v>
      </c>
    </row>
    <row r="27" spans="1:5">
      <c r="A27" s="2" t="s">
        <v>194</v>
      </c>
      <c r="B27">
        <v>0.027240492</v>
      </c>
      <c r="C27">
        <v>0.2428976184</v>
      </c>
      <c r="D27">
        <v>0.418255404</v>
      </c>
      <c r="E27">
        <v>0.5385881016</v>
      </c>
    </row>
    <row r="28" spans="1:5">
      <c r="A28" s="2" t="s">
        <v>196</v>
      </c>
      <c r="B28">
        <v>0.0016242105</v>
      </c>
      <c r="C28">
        <v>0.0245602773</v>
      </c>
      <c r="D28">
        <v>0.0026668173</v>
      </c>
      <c r="E28">
        <v>0.0254979765</v>
      </c>
    </row>
    <row r="29" spans="1:5">
      <c r="A29" s="2" t="s">
        <v>198</v>
      </c>
      <c r="B29">
        <v>0.018676764</v>
      </c>
      <c r="C29">
        <v>0.0255701784</v>
      </c>
      <c r="D29">
        <v>0.0648807</v>
      </c>
      <c r="E29">
        <v>0.0688426968</v>
      </c>
    </row>
    <row r="30" spans="1:5">
      <c r="A30" s="2" t="s">
        <v>200</v>
      </c>
      <c r="B30">
        <v>0.0276235632</v>
      </c>
      <c r="C30">
        <v>0.2491158576</v>
      </c>
      <c r="D30">
        <v>0.7103584944</v>
      </c>
      <c r="E30">
        <v>0.8303255472</v>
      </c>
    </row>
    <row r="31" spans="1:5">
      <c r="A31" s="2" t="s">
        <v>202</v>
      </c>
      <c r="B31">
        <v>0.0096462984</v>
      </c>
      <c r="C31">
        <v>0.109221588</v>
      </c>
      <c r="D31">
        <v>0.0583356552</v>
      </c>
      <c r="E31">
        <v>0.1480921416</v>
      </c>
    </row>
  </sheetData>
  <conditionalFormatting sqref="B32:B1048576 B1">
    <cfRule type="colorScale" priority="7">
      <colorScale>
        <cfvo type="min"/>
        <cfvo type="max"/>
        <color rgb="FFFCFCFF"/>
        <color rgb="FFF8696B"/>
      </colorScale>
    </cfRule>
  </conditionalFormatting>
  <conditionalFormatting sqref="C32:C1048576 C1">
    <cfRule type="colorScale" priority="3">
      <colorScale>
        <cfvo type="min"/>
        <cfvo type="max"/>
        <color rgb="FFFCFCFF"/>
        <color rgb="FFF8696B"/>
      </colorScale>
    </cfRule>
  </conditionalFormatting>
  <conditionalFormatting sqref="D32:D1048576 D1">
    <cfRule type="colorScale" priority="2">
      <colorScale>
        <cfvo type="min"/>
        <cfvo type="max"/>
        <color rgb="FFFCFCFF"/>
        <color rgb="FFF8696B"/>
      </colorScale>
    </cfRule>
  </conditionalFormatting>
  <conditionalFormatting sqref="E32:E1048576 E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11" sqref="E11"/>
    </sheetView>
  </sheetViews>
  <sheetFormatPr defaultColWidth="9" defaultRowHeight="14"/>
  <cols>
    <col min="3" max="4" width="12.775" customWidth="1"/>
    <col min="5" max="7" width="13.1083333333333" customWidth="1"/>
    <col min="8" max="8" width="11.6666666666667" customWidth="1"/>
    <col min="9" max="9" width="9.44166666666667" customWidth="1"/>
  </cols>
  <sheetData>
    <row r="1" spans="1:11">
      <c r="A1" s="4" t="s">
        <v>274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1">
      <c r="A2" s="4" t="s">
        <v>275</v>
      </c>
      <c r="B2" s="4" t="s">
        <v>265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4" t="s">
        <v>276</v>
      </c>
      <c r="B3" s="4" t="s">
        <v>265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4" t="s">
        <v>277</v>
      </c>
      <c r="B4" s="4" t="s">
        <v>265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12" spans="1:11">
      <c r="G12" s="4"/>
    </row>
    <row r="13" spans="1:11">
      <c r="H13" s="4"/>
      <c r="J13" s="4"/>
    </row>
    <row r="14" spans="1:11">
      <c r="H14" s="4"/>
      <c r="J14" s="4"/>
    </row>
    <row r="15" spans="1:11">
      <c r="H15" s="4"/>
      <c r="J15" s="4"/>
    </row>
    <row r="16" spans="1:11">
      <c r="H16" s="4"/>
    </row>
    <row r="17" spans="8:8">
      <c r="H17" s="4"/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119" zoomScaleNormal="119" workbookViewId="0">
      <selection activeCell="H12" sqref="H12"/>
    </sheetView>
  </sheetViews>
  <sheetFormatPr defaultColWidth="9" defaultRowHeight="14"/>
  <sheetData>
    <row r="1" spans="1:14">
      <c r="B1" s="10" t="s">
        <v>278</v>
      </c>
      <c r="C1" s="10" t="s">
        <v>279</v>
      </c>
      <c r="D1" s="10" t="s">
        <v>280</v>
      </c>
      <c r="E1" s="10" t="s">
        <v>281</v>
      </c>
      <c r="F1" s="10" t="s">
        <v>282</v>
      </c>
      <c r="G1" s="10" t="s">
        <v>283</v>
      </c>
      <c r="H1" s="10" t="s">
        <v>284</v>
      </c>
      <c r="I1" s="10" t="s">
        <v>285</v>
      </c>
      <c r="J1" s="10" t="s">
        <v>286</v>
      </c>
      <c r="K1" s="10" t="s">
        <v>287</v>
      </c>
      <c r="L1" s="10" t="s">
        <v>288</v>
      </c>
      <c r="M1" s="10" t="s">
        <v>289</v>
      </c>
      <c r="N1" s="11" t="s">
        <v>290</v>
      </c>
    </row>
    <row r="2" spans="1:14">
      <c r="A2">
        <v>2020</v>
      </c>
      <c r="B2" s="12">
        <v>1690</v>
      </c>
      <c r="C2" s="12">
        <v>43.83</v>
      </c>
      <c r="D2" s="12">
        <v>6503.52</v>
      </c>
      <c r="E2" s="12">
        <v>76.92</v>
      </c>
      <c r="F2" s="12">
        <v>950</v>
      </c>
      <c r="G2" s="12">
        <v>7.1</v>
      </c>
      <c r="H2" s="12">
        <v>23</v>
      </c>
      <c r="I2" s="12">
        <v>20</v>
      </c>
      <c r="J2" s="12">
        <v>5</v>
      </c>
      <c r="K2" s="12">
        <v>528</v>
      </c>
      <c r="L2" s="12">
        <v>0.33</v>
      </c>
      <c r="M2" s="12">
        <v>0.667</v>
      </c>
      <c r="N2" s="12">
        <v>110</v>
      </c>
    </row>
    <row r="3" spans="1:14">
      <c r="A3">
        <v>2021</v>
      </c>
      <c r="B3" s="12">
        <v>1612.575</v>
      </c>
      <c r="C3" s="12">
        <v>42.7424375</v>
      </c>
      <c r="D3" s="12">
        <v>6195.1368</v>
      </c>
      <c r="E3" s="12">
        <v>75.9737</v>
      </c>
      <c r="F3" s="12">
        <v>915</v>
      </c>
      <c r="G3" s="12">
        <v>6.895</v>
      </c>
      <c r="H3" s="12">
        <v>21.9075</v>
      </c>
      <c r="I3" s="12">
        <v>19.5</v>
      </c>
      <c r="J3" s="12">
        <v>4.875</v>
      </c>
      <c r="K3" s="12">
        <v>504.1</v>
      </c>
      <c r="L3" s="12">
        <v>0.31535</v>
      </c>
      <c r="M3" s="12">
        <v>0.63615</v>
      </c>
      <c r="N3" s="12">
        <v>110</v>
      </c>
    </row>
    <row r="4" spans="1:14">
      <c r="A4">
        <v>2022</v>
      </c>
      <c r="B4" s="12">
        <v>1536.3</v>
      </c>
      <c r="C4" s="12">
        <v>41.67025</v>
      </c>
      <c r="D4" s="12">
        <v>5894.1112</v>
      </c>
      <c r="E4" s="12">
        <v>75.0008</v>
      </c>
      <c r="F4" s="12">
        <v>880</v>
      </c>
      <c r="G4" s="12">
        <v>6.69</v>
      </c>
      <c r="H4" s="12">
        <v>20.815</v>
      </c>
      <c r="I4" s="12">
        <v>19</v>
      </c>
      <c r="J4" s="12">
        <v>4.75</v>
      </c>
      <c r="K4" s="12">
        <v>480.2</v>
      </c>
      <c r="L4" s="12">
        <v>0.3007</v>
      </c>
      <c r="M4" s="12">
        <v>0.6053</v>
      </c>
      <c r="N4" s="12">
        <v>110</v>
      </c>
    </row>
    <row r="5" spans="1:14">
      <c r="A5">
        <v>2023</v>
      </c>
      <c r="B5" s="12">
        <v>1461.175</v>
      </c>
      <c r="C5" s="12">
        <v>40.6134375</v>
      </c>
      <c r="D5" s="12">
        <v>5600.4432</v>
      </c>
      <c r="E5" s="12">
        <v>74.0013</v>
      </c>
      <c r="F5" s="12">
        <v>845</v>
      </c>
      <c r="G5" s="12">
        <v>6.485</v>
      </c>
      <c r="H5" s="12">
        <v>19.7225</v>
      </c>
      <c r="I5" s="12">
        <v>18.5</v>
      </c>
      <c r="J5" s="12">
        <v>4.625</v>
      </c>
      <c r="K5" s="12">
        <v>456.3</v>
      </c>
      <c r="L5" s="12">
        <v>0.28605</v>
      </c>
      <c r="M5" s="12">
        <v>0.57445</v>
      </c>
      <c r="N5" s="12">
        <v>110</v>
      </c>
    </row>
    <row r="6" spans="1:14">
      <c r="A6">
        <v>2024</v>
      </c>
      <c r="B6" s="12">
        <v>1387.2</v>
      </c>
      <c r="C6" s="12">
        <v>39.572</v>
      </c>
      <c r="D6" s="12">
        <v>5314.1328</v>
      </c>
      <c r="E6" s="12">
        <v>72.9752</v>
      </c>
      <c r="F6" s="12">
        <v>810</v>
      </c>
      <c r="G6" s="12">
        <v>6.28</v>
      </c>
      <c r="H6" s="12">
        <v>18.63</v>
      </c>
      <c r="I6" s="12">
        <v>18</v>
      </c>
      <c r="J6" s="12">
        <v>4.5</v>
      </c>
      <c r="K6" s="12">
        <v>432.4</v>
      </c>
      <c r="L6" s="12">
        <v>0.2714</v>
      </c>
      <c r="M6" s="12">
        <v>0.5436</v>
      </c>
      <c r="N6" s="12">
        <v>110</v>
      </c>
    </row>
    <row r="7" spans="1:14">
      <c r="A7">
        <v>2025</v>
      </c>
      <c r="B7" s="12">
        <v>1314.375</v>
      </c>
      <c r="C7" s="12">
        <v>38.5459375</v>
      </c>
      <c r="D7" s="12">
        <v>5035.18</v>
      </c>
      <c r="E7" s="12">
        <v>71.9225</v>
      </c>
      <c r="F7" s="12">
        <v>775</v>
      </c>
      <c r="G7" s="12">
        <v>6.075</v>
      </c>
      <c r="H7" s="12">
        <v>17.5375</v>
      </c>
      <c r="I7" s="12">
        <v>17.5</v>
      </c>
      <c r="J7" s="12">
        <v>4.375</v>
      </c>
      <c r="K7" s="12">
        <v>408.5</v>
      </c>
      <c r="L7" s="12">
        <v>0.25675</v>
      </c>
      <c r="M7" s="12">
        <v>0.51275</v>
      </c>
      <c r="N7" s="12">
        <v>110</v>
      </c>
    </row>
    <row r="8" spans="1:14">
      <c r="A8">
        <v>2026</v>
      </c>
      <c r="B8" s="12">
        <v>1242.7</v>
      </c>
      <c r="C8" s="12">
        <v>37.53525</v>
      </c>
      <c r="D8" s="12">
        <v>4763.5848</v>
      </c>
      <c r="E8" s="12">
        <v>70.8432</v>
      </c>
      <c r="F8" s="12">
        <v>740</v>
      </c>
      <c r="G8" s="12">
        <v>5.87</v>
      </c>
      <c r="H8" s="12">
        <v>16.445</v>
      </c>
      <c r="I8" s="12">
        <v>17</v>
      </c>
      <c r="J8" s="12">
        <v>4.25</v>
      </c>
      <c r="K8" s="12">
        <v>384.6</v>
      </c>
      <c r="L8" s="12">
        <v>0.2421</v>
      </c>
      <c r="M8" s="12">
        <v>0.4819</v>
      </c>
      <c r="N8" s="12">
        <v>110</v>
      </c>
    </row>
    <row r="9" spans="1:14">
      <c r="A9">
        <v>2027</v>
      </c>
      <c r="B9" s="12">
        <v>1172.175</v>
      </c>
      <c r="C9" s="12">
        <v>36.5399375</v>
      </c>
      <c r="D9" s="12">
        <v>4499.3472</v>
      </c>
      <c r="E9" s="12">
        <v>69.7373</v>
      </c>
      <c r="F9" s="12">
        <v>705</v>
      </c>
      <c r="G9" s="12">
        <v>5.665</v>
      </c>
      <c r="H9" s="12">
        <v>15.3525</v>
      </c>
      <c r="I9" s="12">
        <v>16.5</v>
      </c>
      <c r="J9" s="12">
        <v>4.125</v>
      </c>
      <c r="K9" s="12">
        <v>360.7</v>
      </c>
      <c r="L9" s="12">
        <v>0.22745</v>
      </c>
      <c r="M9" s="12">
        <v>0.45105</v>
      </c>
      <c r="N9" s="12">
        <v>110</v>
      </c>
    </row>
    <row r="10" spans="1:14">
      <c r="A10">
        <v>2028</v>
      </c>
      <c r="B10" s="12">
        <v>1102.8</v>
      </c>
      <c r="C10" s="12">
        <v>35.56</v>
      </c>
      <c r="D10" s="12">
        <v>4242.4672</v>
      </c>
      <c r="E10" s="12">
        <v>68.6048</v>
      </c>
      <c r="F10" s="12">
        <v>670</v>
      </c>
      <c r="G10" s="12">
        <v>5.46</v>
      </c>
      <c r="H10" s="12">
        <v>14.26</v>
      </c>
      <c r="I10" s="12">
        <v>16</v>
      </c>
      <c r="J10" s="12">
        <v>4</v>
      </c>
      <c r="K10" s="12">
        <v>336.8</v>
      </c>
      <c r="L10" s="12">
        <v>0.2128</v>
      </c>
      <c r="M10" s="12">
        <v>0.4202</v>
      </c>
      <c r="N10" s="12">
        <v>110</v>
      </c>
    </row>
    <row r="11" spans="1:14">
      <c r="A11">
        <v>2029</v>
      </c>
      <c r="B11" s="12">
        <v>1034.575</v>
      </c>
      <c r="C11" s="12">
        <v>34.5954375</v>
      </c>
      <c r="D11" s="12">
        <v>3992.9448</v>
      </c>
      <c r="E11" s="12">
        <v>67.4457</v>
      </c>
      <c r="F11" s="12">
        <v>635</v>
      </c>
      <c r="G11" s="12">
        <v>5.255</v>
      </c>
      <c r="H11" s="12">
        <v>13.1675</v>
      </c>
      <c r="I11" s="12">
        <v>15.5</v>
      </c>
      <c r="J11" s="12">
        <v>3.875</v>
      </c>
      <c r="K11" s="12">
        <v>312.9</v>
      </c>
      <c r="L11" s="12">
        <v>0.19815</v>
      </c>
      <c r="M11" s="12">
        <v>0.38935</v>
      </c>
      <c r="N11" s="12">
        <v>110</v>
      </c>
    </row>
    <row r="12" spans="1:14">
      <c r="A12">
        <v>2030</v>
      </c>
      <c r="B12" s="12">
        <v>967.5</v>
      </c>
      <c r="C12" s="12">
        <v>33.64625</v>
      </c>
      <c r="D12" s="12">
        <v>3750.78</v>
      </c>
      <c r="E12" s="12">
        <v>66.26</v>
      </c>
      <c r="F12" s="12">
        <v>600</v>
      </c>
      <c r="G12" s="12">
        <v>5.05</v>
      </c>
      <c r="H12" s="12">
        <v>12.075</v>
      </c>
      <c r="I12" s="12">
        <v>15</v>
      </c>
      <c r="J12" s="12">
        <v>3.75</v>
      </c>
      <c r="K12" s="12">
        <v>289</v>
      </c>
      <c r="L12" s="12">
        <v>0.1835</v>
      </c>
      <c r="M12" s="12">
        <v>0.3585</v>
      </c>
      <c r="N12" s="12">
        <v>110</v>
      </c>
    </row>
    <row r="13" spans="1:14">
      <c r="A13">
        <v>2031</v>
      </c>
      <c r="B13" s="12">
        <v>924.245</v>
      </c>
      <c r="C13" s="12">
        <v>32.9052125</v>
      </c>
      <c r="D13" s="12">
        <v>3655.37</v>
      </c>
      <c r="E13" s="12">
        <v>65.35636</v>
      </c>
      <c r="F13" s="12">
        <v>579</v>
      </c>
      <c r="G13" s="12">
        <v>4.927</v>
      </c>
      <c r="H13" s="12">
        <v>11.4195</v>
      </c>
      <c r="I13" s="12">
        <v>14.7</v>
      </c>
      <c r="J13" s="12">
        <v>3.675</v>
      </c>
      <c r="K13" s="12">
        <v>274.66</v>
      </c>
      <c r="L13" s="12">
        <v>0.17471</v>
      </c>
      <c r="M13" s="12">
        <v>0.33999</v>
      </c>
      <c r="N13" s="12">
        <v>110</v>
      </c>
    </row>
    <row r="14" spans="1:14">
      <c r="A14">
        <v>2032</v>
      </c>
      <c r="B14" s="12">
        <v>881.68</v>
      </c>
      <c r="C14" s="12">
        <v>32.1734</v>
      </c>
      <c r="D14" s="12">
        <v>3561.1216</v>
      </c>
      <c r="E14" s="12">
        <v>64.44864</v>
      </c>
      <c r="F14" s="12">
        <v>558</v>
      </c>
      <c r="G14" s="12">
        <v>4.804</v>
      </c>
      <c r="H14" s="12">
        <v>10.764</v>
      </c>
      <c r="I14" s="12">
        <v>14.4</v>
      </c>
      <c r="J14" s="12">
        <v>3.6</v>
      </c>
      <c r="K14" s="12">
        <v>260.32</v>
      </c>
      <c r="L14" s="12">
        <v>0.16592</v>
      </c>
      <c r="M14" s="12">
        <v>0.32148</v>
      </c>
      <c r="N14" s="12">
        <v>110</v>
      </c>
    </row>
    <row r="15" spans="1:14">
      <c r="A15">
        <v>2033</v>
      </c>
      <c r="B15" s="12">
        <v>839.805</v>
      </c>
      <c r="C15" s="12">
        <v>31.4508125</v>
      </c>
      <c r="D15" s="12">
        <v>3468.0348</v>
      </c>
      <c r="E15" s="12">
        <v>63.53684</v>
      </c>
      <c r="F15" s="12">
        <v>537</v>
      </c>
      <c r="G15" s="12">
        <v>4.681</v>
      </c>
      <c r="H15" s="12">
        <v>10.1085</v>
      </c>
      <c r="I15" s="12">
        <v>14.1</v>
      </c>
      <c r="J15" s="12">
        <v>3.525</v>
      </c>
      <c r="K15" s="12">
        <v>245.98</v>
      </c>
      <c r="L15" s="12">
        <v>0.15713</v>
      </c>
      <c r="M15" s="12">
        <v>0.30297</v>
      </c>
      <c r="N15" s="12">
        <v>110</v>
      </c>
    </row>
    <row r="16" spans="1:14">
      <c r="A16">
        <v>2034</v>
      </c>
      <c r="B16" s="12">
        <v>798.62</v>
      </c>
      <c r="C16" s="12">
        <v>30.73745</v>
      </c>
      <c r="D16" s="12">
        <v>3376.1096</v>
      </c>
      <c r="E16" s="12">
        <v>62.62096</v>
      </c>
      <c r="F16" s="12">
        <v>516</v>
      </c>
      <c r="G16" s="12">
        <v>4.558</v>
      </c>
      <c r="H16" s="12">
        <v>9.453</v>
      </c>
      <c r="I16" s="12">
        <v>13.8</v>
      </c>
      <c r="J16" s="12">
        <v>3.45</v>
      </c>
      <c r="K16" s="12">
        <v>231.64</v>
      </c>
      <c r="L16" s="12">
        <v>0.14834</v>
      </c>
      <c r="M16" s="12">
        <v>0.28446</v>
      </c>
      <c r="N16" s="12">
        <v>110</v>
      </c>
    </row>
    <row r="17" spans="1:14">
      <c r="A17">
        <v>2035</v>
      </c>
      <c r="B17" s="12">
        <v>758.125</v>
      </c>
      <c r="C17" s="12">
        <v>30.0333125</v>
      </c>
      <c r="D17" s="12">
        <v>3285.346</v>
      </c>
      <c r="E17" s="12">
        <v>61.701</v>
      </c>
      <c r="F17" s="12">
        <v>495</v>
      </c>
      <c r="G17" s="12">
        <v>4.435</v>
      </c>
      <c r="H17" s="12">
        <v>8.7975</v>
      </c>
      <c r="I17" s="12">
        <v>13.5</v>
      </c>
      <c r="J17" s="12">
        <v>3.375</v>
      </c>
      <c r="K17" s="12">
        <v>217.3</v>
      </c>
      <c r="L17" s="12">
        <v>0.13955</v>
      </c>
      <c r="M17" s="12">
        <v>0.26595</v>
      </c>
      <c r="N17" s="12">
        <v>110</v>
      </c>
    </row>
    <row r="18" spans="1:14">
      <c r="A18">
        <v>2036</v>
      </c>
      <c r="B18" s="12">
        <v>718.32</v>
      </c>
      <c r="C18" s="12">
        <v>29.3384</v>
      </c>
      <c r="D18" s="12">
        <v>3195.744</v>
      </c>
      <c r="E18" s="12">
        <v>60.77696</v>
      </c>
      <c r="F18" s="12">
        <v>474</v>
      </c>
      <c r="G18" s="12">
        <v>4.312</v>
      </c>
      <c r="H18" s="12">
        <v>8.142</v>
      </c>
      <c r="I18" s="12">
        <v>13.2</v>
      </c>
      <c r="J18" s="12">
        <v>3.3</v>
      </c>
      <c r="K18" s="12">
        <v>202.96</v>
      </c>
      <c r="L18" s="12">
        <v>0.13076</v>
      </c>
      <c r="M18" s="12">
        <v>0.24744</v>
      </c>
      <c r="N18" s="12">
        <v>110</v>
      </c>
    </row>
    <row r="19" spans="1:14">
      <c r="A19">
        <v>2037</v>
      </c>
      <c r="B19" s="12">
        <v>679.205</v>
      </c>
      <c r="C19" s="12">
        <v>28.6527125</v>
      </c>
      <c r="D19" s="12">
        <v>3107.3036</v>
      </c>
      <c r="E19" s="12">
        <v>59.84884</v>
      </c>
      <c r="F19" s="12">
        <v>453</v>
      </c>
      <c r="G19" s="12">
        <v>4.189</v>
      </c>
      <c r="H19" s="12">
        <v>7.4865</v>
      </c>
      <c r="I19" s="12">
        <v>12.9</v>
      </c>
      <c r="J19" s="12">
        <v>3.225</v>
      </c>
      <c r="K19" s="12">
        <v>188.62</v>
      </c>
      <c r="L19" s="12">
        <v>0.12197</v>
      </c>
      <c r="M19" s="12">
        <v>0.22893</v>
      </c>
      <c r="N19" s="12">
        <v>110</v>
      </c>
    </row>
    <row r="20" spans="1:14">
      <c r="A20">
        <v>2038</v>
      </c>
      <c r="B20" s="12">
        <v>640.78</v>
      </c>
      <c r="C20" s="12">
        <v>27.97625</v>
      </c>
      <c r="D20" s="12">
        <v>3020.0248</v>
      </c>
      <c r="E20" s="12">
        <v>58.91664</v>
      </c>
      <c r="F20" s="12">
        <v>432</v>
      </c>
      <c r="G20" s="12">
        <v>4.066</v>
      </c>
      <c r="H20" s="12">
        <v>6.831</v>
      </c>
      <c r="I20" s="12">
        <v>12.6</v>
      </c>
      <c r="J20" s="12">
        <v>3.15</v>
      </c>
      <c r="K20" s="12">
        <v>174.28</v>
      </c>
      <c r="L20" s="12">
        <v>0.11318</v>
      </c>
      <c r="M20" s="12">
        <v>0.21042</v>
      </c>
      <c r="N20" s="12">
        <v>110</v>
      </c>
    </row>
    <row r="21" spans="1:14">
      <c r="A21">
        <v>2039</v>
      </c>
      <c r="B21" s="12">
        <v>603.045</v>
      </c>
      <c r="C21" s="12">
        <v>27.3090125</v>
      </c>
      <c r="D21" s="12">
        <v>2933.9076</v>
      </c>
      <c r="E21" s="12">
        <v>57.98036</v>
      </c>
      <c r="F21" s="12">
        <v>411</v>
      </c>
      <c r="G21" s="12">
        <v>3.943</v>
      </c>
      <c r="H21" s="12">
        <v>6.1755</v>
      </c>
      <c r="I21" s="12">
        <v>12.3</v>
      </c>
      <c r="J21" s="12">
        <v>3.075</v>
      </c>
      <c r="K21" s="12">
        <v>159.94</v>
      </c>
      <c r="L21" s="12">
        <v>0.10439</v>
      </c>
      <c r="M21" s="12">
        <v>0.19191</v>
      </c>
      <c r="N21" s="12">
        <v>110</v>
      </c>
    </row>
    <row r="22" spans="1:14">
      <c r="A22">
        <v>2040</v>
      </c>
      <c r="B22" s="12">
        <v>566</v>
      </c>
      <c r="C22" s="12">
        <v>26.651</v>
      </c>
      <c r="D22" s="12">
        <v>2848.952</v>
      </c>
      <c r="E22" s="12">
        <v>57.04</v>
      </c>
      <c r="F22" s="12">
        <v>390</v>
      </c>
      <c r="G22" s="12">
        <v>3.82</v>
      </c>
      <c r="H22" s="12">
        <v>5.52</v>
      </c>
      <c r="I22" s="12">
        <v>12</v>
      </c>
      <c r="J22" s="12">
        <v>3</v>
      </c>
      <c r="K22" s="12">
        <v>145.6</v>
      </c>
      <c r="L22" s="12">
        <v>0.0956</v>
      </c>
      <c r="M22" s="12">
        <v>0.1734</v>
      </c>
      <c r="N22" s="12">
        <v>110</v>
      </c>
    </row>
    <row r="23" spans="1:14">
      <c r="A23">
        <v>2041</v>
      </c>
      <c r="B23" s="12">
        <v>547.978</v>
      </c>
      <c r="C23" s="12">
        <v>26.148035</v>
      </c>
      <c r="D23" s="12">
        <v>2823.633632</v>
      </c>
      <c r="E23" s="12">
        <v>56.6176</v>
      </c>
      <c r="F23" s="12">
        <v>381.6</v>
      </c>
      <c r="G23" s="12">
        <v>3.7708</v>
      </c>
      <c r="H23" s="12">
        <v>5.2578</v>
      </c>
      <c r="I23" s="12">
        <v>11.88</v>
      </c>
      <c r="J23" s="12">
        <v>2.97</v>
      </c>
      <c r="K23" s="12">
        <v>139.864</v>
      </c>
      <c r="L23" s="12">
        <v>0.092084</v>
      </c>
      <c r="M23" s="12">
        <v>0.165996</v>
      </c>
      <c r="N23" s="12">
        <v>110</v>
      </c>
    </row>
    <row r="24" spans="1:14">
      <c r="A24">
        <v>2042</v>
      </c>
      <c r="B24" s="12">
        <v>530.232</v>
      </c>
      <c r="C24" s="12">
        <v>25.64876</v>
      </c>
      <c r="D24" s="12">
        <v>2798.375168</v>
      </c>
      <c r="E24" s="12">
        <v>56.1952</v>
      </c>
      <c r="F24" s="12">
        <v>373.2</v>
      </c>
      <c r="G24" s="12">
        <v>3.7216</v>
      </c>
      <c r="H24" s="12">
        <v>4.9956</v>
      </c>
      <c r="I24" s="12">
        <v>11.76</v>
      </c>
      <c r="J24" s="12">
        <v>2.94</v>
      </c>
      <c r="K24" s="12">
        <v>134.128</v>
      </c>
      <c r="L24" s="12">
        <v>0.088568</v>
      </c>
      <c r="M24" s="12">
        <v>0.158592</v>
      </c>
      <c r="N24" s="12">
        <v>110</v>
      </c>
    </row>
    <row r="25" spans="1:14">
      <c r="A25">
        <v>2043</v>
      </c>
      <c r="B25" s="12">
        <v>512.762</v>
      </c>
      <c r="C25" s="12">
        <v>25.153175</v>
      </c>
      <c r="D25" s="12">
        <v>2773.176608</v>
      </c>
      <c r="E25" s="12">
        <v>55.7728</v>
      </c>
      <c r="F25" s="12">
        <v>364.8</v>
      </c>
      <c r="G25" s="12">
        <v>3.6724</v>
      </c>
      <c r="H25" s="12">
        <v>4.7334</v>
      </c>
      <c r="I25" s="12">
        <v>11.64</v>
      </c>
      <c r="J25" s="12">
        <v>2.91</v>
      </c>
      <c r="K25" s="12">
        <v>128.392</v>
      </c>
      <c r="L25" s="12">
        <v>0.085052</v>
      </c>
      <c r="M25" s="12">
        <v>0.151188</v>
      </c>
      <c r="N25" s="12">
        <v>110</v>
      </c>
    </row>
    <row r="26" spans="1:14">
      <c r="A26">
        <v>2044</v>
      </c>
      <c r="B26" s="12">
        <v>495.568</v>
      </c>
      <c r="C26" s="12">
        <v>24.66128</v>
      </c>
      <c r="D26" s="12">
        <v>2748.037952</v>
      </c>
      <c r="E26" s="12">
        <v>55.3504</v>
      </c>
      <c r="F26" s="12">
        <v>356.4</v>
      </c>
      <c r="G26" s="12">
        <v>3.6232</v>
      </c>
      <c r="H26" s="12">
        <v>4.4712</v>
      </c>
      <c r="I26" s="12">
        <v>11.52</v>
      </c>
      <c r="J26" s="12">
        <v>2.88</v>
      </c>
      <c r="K26" s="12">
        <v>122.656</v>
      </c>
      <c r="L26" s="12">
        <v>0.0815359999999999</v>
      </c>
      <c r="M26" s="12">
        <v>0.143784</v>
      </c>
      <c r="N26" s="12">
        <v>110</v>
      </c>
    </row>
    <row r="27" spans="1:14">
      <c r="A27">
        <v>2045</v>
      </c>
      <c r="B27" s="12">
        <v>478.65</v>
      </c>
      <c r="C27" s="12">
        <v>24.173075</v>
      </c>
      <c r="D27" s="12">
        <v>2722.9592</v>
      </c>
      <c r="E27" s="12">
        <v>54.928</v>
      </c>
      <c r="F27" s="12">
        <v>348</v>
      </c>
      <c r="G27" s="12">
        <v>3.574</v>
      </c>
      <c r="H27" s="12">
        <v>4.209</v>
      </c>
      <c r="I27" s="12">
        <v>11.4</v>
      </c>
      <c r="J27" s="12">
        <v>2.85</v>
      </c>
      <c r="K27" s="12">
        <v>116.92</v>
      </c>
      <c r="L27" s="12">
        <v>0.0780199999999999</v>
      </c>
      <c r="M27" s="12">
        <v>0.13638</v>
      </c>
      <c r="N27" s="12">
        <v>110</v>
      </c>
    </row>
    <row r="28" spans="1:14">
      <c r="A28">
        <v>2046</v>
      </c>
      <c r="B28" s="12">
        <v>462.008</v>
      </c>
      <c r="C28" s="12">
        <v>23.68856</v>
      </c>
      <c r="D28" s="12">
        <v>2697.940352</v>
      </c>
      <c r="E28" s="12">
        <v>54.5056</v>
      </c>
      <c r="F28" s="12">
        <v>339.6</v>
      </c>
      <c r="G28" s="12">
        <v>3.5248</v>
      </c>
      <c r="H28" s="12">
        <v>3.9468</v>
      </c>
      <c r="I28" s="12">
        <v>11.28</v>
      </c>
      <c r="J28" s="12">
        <v>2.82</v>
      </c>
      <c r="K28" s="12">
        <v>111.184</v>
      </c>
      <c r="L28" s="12">
        <v>0.0745039999999999</v>
      </c>
      <c r="M28" s="12">
        <v>0.128976</v>
      </c>
      <c r="N28" s="12">
        <v>110</v>
      </c>
    </row>
    <row r="29" spans="1:14">
      <c r="A29">
        <v>2047</v>
      </c>
      <c r="B29" s="12">
        <v>445.642</v>
      </c>
      <c r="C29" s="12">
        <v>23.207735</v>
      </c>
      <c r="D29" s="12">
        <v>2672.981408</v>
      </c>
      <c r="E29" s="12">
        <v>54.0832</v>
      </c>
      <c r="F29" s="12">
        <v>331.2</v>
      </c>
      <c r="G29" s="12">
        <v>3.4756</v>
      </c>
      <c r="H29" s="12">
        <v>3.68459999999999</v>
      </c>
      <c r="I29" s="12">
        <v>11.16</v>
      </c>
      <c r="J29" s="12">
        <v>2.79</v>
      </c>
      <c r="K29" s="12">
        <v>105.448</v>
      </c>
      <c r="L29" s="12">
        <v>0.0709879999999999</v>
      </c>
      <c r="M29" s="12">
        <v>0.121572</v>
      </c>
      <c r="N29" s="12">
        <v>110</v>
      </c>
    </row>
    <row r="30" spans="1:14">
      <c r="A30">
        <v>2048</v>
      </c>
      <c r="B30" s="12">
        <v>429.552</v>
      </c>
      <c r="C30" s="12">
        <v>22.7306</v>
      </c>
      <c r="D30" s="12">
        <v>2648.082368</v>
      </c>
      <c r="E30" s="12">
        <v>53.6608</v>
      </c>
      <c r="F30" s="12">
        <v>322.8</v>
      </c>
      <c r="G30" s="12">
        <v>3.4264</v>
      </c>
      <c r="H30" s="12">
        <v>3.42239999999999</v>
      </c>
      <c r="I30" s="12">
        <v>11.04</v>
      </c>
      <c r="J30" s="12">
        <v>2.76</v>
      </c>
      <c r="K30" s="12">
        <v>99.7119999999999</v>
      </c>
      <c r="L30" s="12">
        <v>0.0674719999999999</v>
      </c>
      <c r="M30" s="12">
        <v>0.114168</v>
      </c>
      <c r="N30" s="12">
        <v>110</v>
      </c>
    </row>
    <row r="31" spans="1:14">
      <c r="A31">
        <v>2049</v>
      </c>
      <c r="B31" s="12">
        <v>413.738</v>
      </c>
      <c r="C31" s="12">
        <v>22.257155</v>
      </c>
      <c r="D31" s="12">
        <v>2623.243232</v>
      </c>
      <c r="E31" s="12">
        <v>53.2384</v>
      </c>
      <c r="F31" s="12">
        <v>314.4</v>
      </c>
      <c r="G31" s="12">
        <v>3.3772</v>
      </c>
      <c r="H31" s="12">
        <v>3.16019999999999</v>
      </c>
      <c r="I31" s="12">
        <v>10.92</v>
      </c>
      <c r="J31" s="12">
        <v>2.73</v>
      </c>
      <c r="K31" s="12">
        <v>93.9759999999999</v>
      </c>
      <c r="L31" s="12">
        <v>0.0639559999999999</v>
      </c>
      <c r="M31" s="12">
        <v>0.106764</v>
      </c>
      <c r="N31" s="12">
        <v>110</v>
      </c>
    </row>
    <row r="32" spans="1:14">
      <c r="A32">
        <v>2050</v>
      </c>
      <c r="B32" s="12">
        <v>398.2</v>
      </c>
      <c r="C32" s="12">
        <v>21.7874</v>
      </c>
      <c r="D32" s="12">
        <v>2598.464</v>
      </c>
      <c r="E32" s="12">
        <v>52.816</v>
      </c>
      <c r="F32" s="12">
        <v>306</v>
      </c>
      <c r="G32" s="12">
        <v>3.328</v>
      </c>
      <c r="H32" s="12">
        <v>2.898</v>
      </c>
      <c r="I32" s="12">
        <v>10.8</v>
      </c>
      <c r="J32" s="12">
        <v>2.7</v>
      </c>
      <c r="K32" s="12">
        <v>88.24</v>
      </c>
      <c r="L32" s="12">
        <v>0.06044</v>
      </c>
      <c r="M32" s="12">
        <v>0.0993600000000001</v>
      </c>
      <c r="N32" s="12">
        <v>110</v>
      </c>
    </row>
    <row r="33" spans="1:14">
      <c r="A33">
        <v>2051</v>
      </c>
      <c r="B33" s="12">
        <v>386.552</v>
      </c>
      <c r="C33" s="12">
        <v>21.34759</v>
      </c>
      <c r="D33" s="12">
        <v>2580.757888</v>
      </c>
      <c r="E33" s="12">
        <v>52.5344</v>
      </c>
      <c r="F33" s="12">
        <v>300.4</v>
      </c>
      <c r="G33" s="12">
        <v>3.2952</v>
      </c>
      <c r="H33" s="12">
        <v>2.7232</v>
      </c>
      <c r="I33" s="12">
        <v>10.72</v>
      </c>
      <c r="J33" s="12">
        <v>2.68</v>
      </c>
      <c r="K33" s="12">
        <v>84.416</v>
      </c>
      <c r="L33" s="12">
        <v>0.058096</v>
      </c>
      <c r="M33" s="12">
        <v>0.0944240000000001</v>
      </c>
      <c r="N33" s="12">
        <v>110</v>
      </c>
    </row>
    <row r="34" spans="1:14">
      <c r="A34">
        <v>2052</v>
      </c>
      <c r="B34" s="12">
        <v>375.088</v>
      </c>
      <c r="C34" s="12">
        <v>20.91024</v>
      </c>
      <c r="D34" s="12">
        <v>2563.091712</v>
      </c>
      <c r="E34" s="12">
        <v>52.2528</v>
      </c>
      <c r="F34" s="12">
        <v>294.8</v>
      </c>
      <c r="G34" s="12">
        <v>3.2624</v>
      </c>
      <c r="H34" s="12">
        <v>2.5484</v>
      </c>
      <c r="I34" s="12">
        <v>10.64</v>
      </c>
      <c r="J34" s="12">
        <v>2.66</v>
      </c>
      <c r="K34" s="12">
        <v>80.592</v>
      </c>
      <c r="L34" s="12">
        <v>0.055752</v>
      </c>
      <c r="M34" s="12">
        <v>0.089488</v>
      </c>
      <c r="N34" s="12">
        <v>110</v>
      </c>
    </row>
    <row r="35" spans="1:14">
      <c r="A35">
        <v>2053</v>
      </c>
      <c r="B35" s="12">
        <v>363.808</v>
      </c>
      <c r="C35" s="12">
        <v>20.47535</v>
      </c>
      <c r="D35" s="12">
        <v>2545.465472</v>
      </c>
      <c r="E35" s="12">
        <v>51.9712</v>
      </c>
      <c r="F35" s="12">
        <v>289.2</v>
      </c>
      <c r="G35" s="12">
        <v>3.2296</v>
      </c>
      <c r="H35" s="12">
        <v>2.3736</v>
      </c>
      <c r="I35" s="12">
        <v>10.56</v>
      </c>
      <c r="J35" s="12">
        <v>2.64</v>
      </c>
      <c r="K35" s="12">
        <v>76.768</v>
      </c>
      <c r="L35" s="12">
        <v>0.053408</v>
      </c>
      <c r="M35" s="12">
        <v>0.0845520000000001</v>
      </c>
      <c r="N35" s="12">
        <v>110</v>
      </c>
    </row>
    <row r="36" spans="1:14">
      <c r="A36">
        <v>2054</v>
      </c>
      <c r="B36" s="12">
        <v>352.712</v>
      </c>
      <c r="C36" s="12">
        <v>20.04292</v>
      </c>
      <c r="D36" s="12">
        <v>2527.879168</v>
      </c>
      <c r="E36" s="12">
        <v>51.6896</v>
      </c>
      <c r="F36" s="12">
        <v>283.6</v>
      </c>
      <c r="G36" s="12">
        <v>3.1968</v>
      </c>
      <c r="H36" s="12">
        <v>2.1988</v>
      </c>
      <c r="I36" s="12">
        <v>10.48</v>
      </c>
      <c r="J36" s="12">
        <v>2.62</v>
      </c>
      <c r="K36" s="12">
        <v>72.9440000000001</v>
      </c>
      <c r="L36" s="12">
        <v>0.051064</v>
      </c>
      <c r="M36" s="12">
        <v>0.0796160000000001</v>
      </c>
      <c r="N36" s="12">
        <v>110</v>
      </c>
    </row>
    <row r="37" spans="1:14">
      <c r="A37">
        <v>2055</v>
      </c>
      <c r="B37" s="12">
        <v>341.8</v>
      </c>
      <c r="C37" s="12">
        <v>19.61295</v>
      </c>
      <c r="D37" s="12">
        <v>2510.3328</v>
      </c>
      <c r="E37" s="12">
        <v>51.408</v>
      </c>
      <c r="F37" s="12">
        <v>278</v>
      </c>
      <c r="G37" s="12">
        <v>3.164</v>
      </c>
      <c r="H37" s="12">
        <v>2.024</v>
      </c>
      <c r="I37" s="12">
        <v>10.4</v>
      </c>
      <c r="J37" s="12">
        <v>2.6</v>
      </c>
      <c r="K37" s="12">
        <v>69.1200000000001</v>
      </c>
      <c r="L37" s="12">
        <v>0.04872</v>
      </c>
      <c r="M37" s="12">
        <v>0.0746800000000001</v>
      </c>
      <c r="N37" s="12">
        <v>110</v>
      </c>
    </row>
    <row r="38" spans="1:14">
      <c r="A38">
        <v>2056</v>
      </c>
      <c r="B38" s="12">
        <v>331.072</v>
      </c>
      <c r="C38" s="12">
        <v>19.18544</v>
      </c>
      <c r="D38" s="12">
        <v>2492.826368</v>
      </c>
      <c r="E38" s="12">
        <v>51.1264</v>
      </c>
      <c r="F38" s="12">
        <v>272.4</v>
      </c>
      <c r="G38" s="12">
        <v>3.1312</v>
      </c>
      <c r="H38" s="12">
        <v>1.8492</v>
      </c>
      <c r="I38" s="12">
        <v>10.32</v>
      </c>
      <c r="J38" s="12">
        <v>2.58</v>
      </c>
      <c r="K38" s="12">
        <v>65.296</v>
      </c>
      <c r="L38" s="12">
        <v>0.046376</v>
      </c>
      <c r="M38" s="12">
        <v>0.0697440000000001</v>
      </c>
      <c r="N38" s="12">
        <v>110</v>
      </c>
    </row>
    <row r="39" spans="1:14">
      <c r="A39">
        <v>2057</v>
      </c>
      <c r="B39" s="12">
        <v>320.528</v>
      </c>
      <c r="C39" s="12">
        <v>18.76039</v>
      </c>
      <c r="D39" s="12">
        <v>2475.359872</v>
      </c>
      <c r="E39" s="12">
        <v>50.8448</v>
      </c>
      <c r="F39" s="12">
        <v>266.8</v>
      </c>
      <c r="G39" s="12">
        <v>3.0984</v>
      </c>
      <c r="H39" s="12">
        <v>1.67440000000001</v>
      </c>
      <c r="I39" s="12">
        <v>10.24</v>
      </c>
      <c r="J39" s="12">
        <v>2.56</v>
      </c>
      <c r="K39" s="12">
        <v>61.4720000000001</v>
      </c>
      <c r="L39" s="12">
        <v>0.044032</v>
      </c>
      <c r="M39" s="12">
        <v>0.0648080000000002</v>
      </c>
      <c r="N39" s="12">
        <v>110</v>
      </c>
    </row>
    <row r="40" spans="1:14">
      <c r="A40">
        <v>2058</v>
      </c>
      <c r="B40" s="12">
        <v>310.168</v>
      </c>
      <c r="C40" s="12">
        <v>18.3378</v>
      </c>
      <c r="D40" s="12">
        <v>2457.933312</v>
      </c>
      <c r="E40" s="12">
        <v>50.5632</v>
      </c>
      <c r="F40" s="12">
        <v>261.2</v>
      </c>
      <c r="G40" s="12">
        <v>3.0656</v>
      </c>
      <c r="H40" s="12">
        <v>1.4996</v>
      </c>
      <c r="I40" s="12">
        <v>10.16</v>
      </c>
      <c r="J40" s="12">
        <v>2.54</v>
      </c>
      <c r="K40" s="12">
        <v>57.6480000000001</v>
      </c>
      <c r="L40" s="12">
        <v>0.0416880000000001</v>
      </c>
      <c r="M40" s="12">
        <v>0.0598720000000001</v>
      </c>
      <c r="N40" s="12">
        <v>110</v>
      </c>
    </row>
    <row r="41" spans="1:14">
      <c r="A41">
        <v>2059</v>
      </c>
      <c r="B41" s="12">
        <v>299.992</v>
      </c>
      <c r="C41" s="12">
        <v>17.91767</v>
      </c>
      <c r="D41" s="12">
        <v>2440.546688</v>
      </c>
      <c r="E41" s="12">
        <v>50.2816</v>
      </c>
      <c r="F41" s="12">
        <v>255.6</v>
      </c>
      <c r="G41" s="12">
        <v>3.0328</v>
      </c>
      <c r="H41" s="12">
        <v>1.3248</v>
      </c>
      <c r="I41" s="12">
        <v>10.08</v>
      </c>
      <c r="J41" s="12">
        <v>2.52</v>
      </c>
      <c r="K41" s="12">
        <v>53.8240000000001</v>
      </c>
      <c r="L41" s="12">
        <v>0.039344</v>
      </c>
      <c r="M41" s="12">
        <v>0.0549360000000002</v>
      </c>
      <c r="N41" s="12">
        <v>110</v>
      </c>
    </row>
    <row r="42" spans="1:14">
      <c r="A42">
        <v>2060</v>
      </c>
      <c r="B42" s="12">
        <v>290</v>
      </c>
      <c r="C42" s="12">
        <v>17.5</v>
      </c>
      <c r="D42" s="12">
        <v>2423.2</v>
      </c>
      <c r="E42" s="12">
        <v>50</v>
      </c>
      <c r="F42" s="12">
        <v>250</v>
      </c>
      <c r="G42" s="12">
        <v>3</v>
      </c>
      <c r="H42" s="12">
        <v>1.15</v>
      </c>
      <c r="I42" s="12">
        <v>10</v>
      </c>
      <c r="J42" s="12">
        <v>2.5</v>
      </c>
      <c r="K42" s="12">
        <v>50</v>
      </c>
      <c r="L42" s="12">
        <v>0.037</v>
      </c>
      <c r="M42" s="12">
        <v>0.05</v>
      </c>
      <c r="N42" s="12">
        <v>110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177" zoomScaleNormal="177" workbookViewId="0">
      <selection activeCell="J10" sqref="J10"/>
    </sheetView>
  </sheetViews>
  <sheetFormatPr defaultColWidth="9" defaultRowHeight="14" outlineLevelRow="3"/>
  <sheetData>
    <row r="1" spans="1:11">
      <c r="A1" s="4" t="s">
        <v>274</v>
      </c>
      <c r="B1" t="s">
        <v>72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ht="15.5" spans="1:11">
      <c r="A2" s="8" t="s">
        <v>291</v>
      </c>
      <c r="B2" t="s">
        <v>256</v>
      </c>
      <c r="C2">
        <v>2703.5</v>
      </c>
      <c r="D2">
        <v>2315.9</v>
      </c>
      <c r="E2">
        <v>1928.3</v>
      </c>
      <c r="F2">
        <v>1756.02</v>
      </c>
      <c r="G2">
        <v>1583.74</v>
      </c>
      <c r="H2">
        <v>1498.188</v>
      </c>
      <c r="I2">
        <v>1412.636</v>
      </c>
      <c r="J2">
        <v>1372.568</v>
      </c>
      <c r="K2">
        <v>1332.5</v>
      </c>
    </row>
    <row r="3" spans="1:11">
      <c r="A3" s="4" t="s">
        <v>292</v>
      </c>
      <c r="B3" t="s">
        <v>256</v>
      </c>
      <c r="C3">
        <v>2703.5</v>
      </c>
      <c r="D3">
        <v>2605.3875</v>
      </c>
      <c r="E3">
        <v>2410.375</v>
      </c>
      <c r="F3">
        <v>2107.224</v>
      </c>
      <c r="G3">
        <v>1900.488</v>
      </c>
      <c r="H3">
        <v>1797.8256</v>
      </c>
      <c r="I3">
        <v>1695.1632</v>
      </c>
      <c r="J3">
        <v>1647.0816</v>
      </c>
      <c r="K3">
        <v>1599</v>
      </c>
    </row>
    <row r="4" ht="15.5" spans="1:11">
      <c r="A4" s="8" t="s">
        <v>293</v>
      </c>
      <c r="B4" t="s">
        <v>256</v>
      </c>
      <c r="C4">
        <v>2703.5</v>
      </c>
      <c r="D4">
        <v>2026.4125</v>
      </c>
      <c r="E4">
        <v>1446.225</v>
      </c>
      <c r="F4">
        <v>1404.816</v>
      </c>
      <c r="G4">
        <v>1266.992</v>
      </c>
      <c r="H4">
        <v>1198.5504</v>
      </c>
      <c r="I4">
        <v>1130.1088</v>
      </c>
      <c r="J4">
        <v>1098.0544</v>
      </c>
      <c r="K4">
        <v>1066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55" zoomScaleNormal="155" workbookViewId="0">
      <selection activeCell="G10" sqref="G10"/>
    </sheetView>
  </sheetViews>
  <sheetFormatPr defaultColWidth="9" defaultRowHeight="14" outlineLevelRow="4" outlineLevelCol="6"/>
  <sheetData>
    <row r="1" spans="1:7">
      <c r="A1" s="4" t="s">
        <v>294</v>
      </c>
      <c r="B1" t="s">
        <v>72</v>
      </c>
      <c r="C1" t="s">
        <v>295</v>
      </c>
      <c r="D1" t="s">
        <v>114</v>
      </c>
      <c r="E1" t="s">
        <v>260</v>
      </c>
      <c r="F1" s="4" t="s">
        <v>296</v>
      </c>
      <c r="G1" s="4"/>
    </row>
    <row r="2" spans="1:7">
      <c r="A2">
        <v>500</v>
      </c>
      <c r="B2" t="s">
        <v>297</v>
      </c>
      <c r="C2" t="s">
        <v>298</v>
      </c>
      <c r="D2" s="9">
        <f>180/500</f>
        <v>0.36</v>
      </c>
      <c r="E2" s="9">
        <f>220/500</f>
        <v>0.44</v>
      </c>
      <c r="F2" s="9">
        <f>1850/500</f>
        <v>3.7</v>
      </c>
    </row>
    <row r="3" spans="1:7">
      <c r="A3">
        <v>1000</v>
      </c>
      <c r="B3" t="s">
        <v>297</v>
      </c>
      <c r="C3" t="s">
        <v>298</v>
      </c>
      <c r="D3" s="9">
        <f>190/1000</f>
        <v>0.19</v>
      </c>
      <c r="E3" s="9">
        <f>230/1000</f>
        <v>0.23</v>
      </c>
      <c r="F3" s="9">
        <f>2200/1000</f>
        <v>2.2</v>
      </c>
    </row>
    <row r="4" spans="1:7">
      <c r="A4">
        <v>1500</v>
      </c>
      <c r="B4" t="s">
        <v>297</v>
      </c>
      <c r="C4" t="s">
        <v>298</v>
      </c>
      <c r="D4" s="9">
        <f>220/1500</f>
        <v>0.146666666666667</v>
      </c>
      <c r="E4" s="9">
        <f>250/1500</f>
        <v>0.166666666666667</v>
      </c>
      <c r="F4" s="9">
        <f>2300/1500</f>
        <v>1.53333333333333</v>
      </c>
    </row>
    <row r="5" spans="1:7">
      <c r="A5">
        <v>2000</v>
      </c>
      <c r="B5" t="s">
        <v>297</v>
      </c>
      <c r="C5" t="s">
        <v>298</v>
      </c>
      <c r="D5" s="9">
        <f>230/2000</f>
        <v>0.115</v>
      </c>
      <c r="E5" s="9">
        <f>260/2000</f>
        <v>0.13</v>
      </c>
      <c r="F5" s="9">
        <f>2500/2000</f>
        <v>1.25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50" zoomScaleNormal="150" workbookViewId="0">
      <selection activeCell="K16" sqref="K16"/>
    </sheetView>
  </sheetViews>
  <sheetFormatPr defaultColWidth="9" defaultRowHeight="14"/>
  <cols>
    <col min="2" max="2" width="23.8833333333333" customWidth="1"/>
  </cols>
  <sheetData>
    <row r="1" spans="1:12">
      <c r="A1" t="s">
        <v>299</v>
      </c>
      <c r="B1" t="s">
        <v>258</v>
      </c>
      <c r="C1" t="s">
        <v>72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>
        <v>2055</v>
      </c>
      <c r="L1">
        <v>2060</v>
      </c>
    </row>
    <row r="2" spans="1:12">
      <c r="A2" t="s">
        <v>114</v>
      </c>
      <c r="B2" t="s">
        <v>300</v>
      </c>
      <c r="C2" t="s">
        <v>223</v>
      </c>
      <c r="D2">
        <v>42</v>
      </c>
      <c r="E2">
        <v>35</v>
      </c>
      <c r="F2">
        <v>31</v>
      </c>
      <c r="G2">
        <v>28</v>
      </c>
      <c r="H2">
        <v>27</v>
      </c>
      <c r="I2">
        <v>26</v>
      </c>
      <c r="J2">
        <v>25.5</v>
      </c>
      <c r="K2">
        <v>25</v>
      </c>
      <c r="L2">
        <v>25</v>
      </c>
    </row>
    <row r="3" spans="1:12">
      <c r="A3" t="s">
        <v>114</v>
      </c>
      <c r="B3" t="s">
        <v>301</v>
      </c>
      <c r="C3" t="s">
        <v>223</v>
      </c>
      <c r="D3">
        <v>20.5</v>
      </c>
      <c r="E3">
        <v>21.5</v>
      </c>
      <c r="F3">
        <v>24.5</v>
      </c>
      <c r="G3">
        <v>24.625</v>
      </c>
      <c r="H3">
        <v>24.75</v>
      </c>
      <c r="I3">
        <v>24.875</v>
      </c>
      <c r="J3">
        <v>25</v>
      </c>
      <c r="K3">
        <v>25</v>
      </c>
      <c r="L3">
        <v>25</v>
      </c>
    </row>
    <row r="4" spans="1:12">
      <c r="A4" t="s">
        <v>114</v>
      </c>
      <c r="B4" t="s">
        <v>302</v>
      </c>
      <c r="C4" t="s">
        <v>223</v>
      </c>
      <c r="D4">
        <v>0</v>
      </c>
      <c r="E4">
        <v>0</v>
      </c>
      <c r="F4">
        <v>3</v>
      </c>
      <c r="G4">
        <v>6</v>
      </c>
      <c r="H4">
        <v>10</v>
      </c>
      <c r="I4">
        <v>17</v>
      </c>
      <c r="J4">
        <v>30</v>
      </c>
      <c r="K4">
        <v>45</v>
      </c>
      <c r="L4">
        <v>58</v>
      </c>
    </row>
    <row r="5" spans="1:12">
      <c r="A5" t="s">
        <v>260</v>
      </c>
      <c r="B5" t="s">
        <v>303</v>
      </c>
      <c r="C5" t="s">
        <v>223</v>
      </c>
      <c r="D5">
        <v>33.548</v>
      </c>
      <c r="E5">
        <v>35.5275</v>
      </c>
      <c r="F5">
        <v>45.25</v>
      </c>
      <c r="G5">
        <v>51.6</v>
      </c>
      <c r="H5">
        <v>62.86</v>
      </c>
      <c r="I5">
        <v>74.68</v>
      </c>
      <c r="J5">
        <v>87.06</v>
      </c>
      <c r="K5">
        <v>100</v>
      </c>
      <c r="L5">
        <v>110</v>
      </c>
    </row>
    <row r="6" spans="1:12">
      <c r="A6" t="s">
        <v>260</v>
      </c>
      <c r="B6" s="4" t="s">
        <v>304</v>
      </c>
      <c r="C6" t="s">
        <v>223</v>
      </c>
      <c r="D6">
        <v>26</v>
      </c>
      <c r="E6">
        <v>25.25</v>
      </c>
      <c r="F6">
        <v>24.5</v>
      </c>
      <c r="G6">
        <v>24</v>
      </c>
      <c r="H6">
        <v>24</v>
      </c>
      <c r="I6">
        <v>23</v>
      </c>
      <c r="J6">
        <v>22</v>
      </c>
      <c r="K6">
        <v>21</v>
      </c>
      <c r="L6">
        <v>20</v>
      </c>
    </row>
    <row r="7" spans="1:12">
      <c r="A7" t="s">
        <v>260</v>
      </c>
      <c r="B7" s="4" t="s">
        <v>302</v>
      </c>
      <c r="C7" t="s">
        <v>223</v>
      </c>
      <c r="D7">
        <v>14</v>
      </c>
      <c r="E7">
        <v>16</v>
      </c>
      <c r="F7">
        <v>18</v>
      </c>
      <c r="G7">
        <v>21</v>
      </c>
      <c r="H7">
        <v>25</v>
      </c>
      <c r="I7">
        <v>30</v>
      </c>
      <c r="J7">
        <v>35</v>
      </c>
      <c r="K7">
        <v>40</v>
      </c>
      <c r="L7">
        <v>45</v>
      </c>
    </row>
    <row r="8" spans="1:12">
      <c r="A8" t="s">
        <v>260</v>
      </c>
      <c r="B8" s="4" t="s">
        <v>305</v>
      </c>
      <c r="C8" t="s">
        <v>223</v>
      </c>
      <c r="D8">
        <v>13.452</v>
      </c>
      <c r="E8">
        <v>11.4725</v>
      </c>
      <c r="F8">
        <v>9.75</v>
      </c>
      <c r="G8">
        <v>8.4</v>
      </c>
      <c r="H8">
        <v>7.14000000000001</v>
      </c>
      <c r="I8">
        <v>5.32</v>
      </c>
      <c r="J8">
        <v>2.94</v>
      </c>
      <c r="K8">
        <v>0</v>
      </c>
      <c r="L8">
        <v>0</v>
      </c>
    </row>
    <row r="9" spans="1:12">
      <c r="A9" t="s">
        <v>261</v>
      </c>
      <c r="B9" t="s">
        <v>306</v>
      </c>
      <c r="C9" t="s">
        <v>223</v>
      </c>
      <c r="D9">
        <v>329</v>
      </c>
      <c r="E9">
        <v>359.5</v>
      </c>
      <c r="F9">
        <v>390</v>
      </c>
      <c r="G9">
        <v>340</v>
      </c>
      <c r="H9">
        <v>290</v>
      </c>
      <c r="I9">
        <v>240</v>
      </c>
      <c r="J9">
        <v>190</v>
      </c>
      <c r="K9">
        <v>180</v>
      </c>
      <c r="L9">
        <v>170</v>
      </c>
    </row>
    <row r="10" spans="1:12">
      <c r="A10" t="s">
        <v>261</v>
      </c>
      <c r="B10" t="s">
        <v>307</v>
      </c>
      <c r="C10" t="s">
        <v>223</v>
      </c>
      <c r="D10">
        <v>161</v>
      </c>
      <c r="E10">
        <v>170.5</v>
      </c>
      <c r="F10">
        <v>180</v>
      </c>
      <c r="G10">
        <v>190</v>
      </c>
      <c r="H10">
        <v>200</v>
      </c>
      <c r="I10">
        <v>215</v>
      </c>
      <c r="J10">
        <v>230</v>
      </c>
      <c r="K10">
        <v>245</v>
      </c>
      <c r="L10">
        <v>260</v>
      </c>
    </row>
    <row r="11" spans="1:12">
      <c r="A11" t="s">
        <v>261</v>
      </c>
      <c r="B11" t="s">
        <v>304</v>
      </c>
      <c r="C11" t="s">
        <v>223</v>
      </c>
      <c r="D11">
        <v>210</v>
      </c>
      <c r="E11">
        <v>205</v>
      </c>
      <c r="F11">
        <v>200</v>
      </c>
      <c r="G11">
        <v>192.5</v>
      </c>
      <c r="H11">
        <v>185</v>
      </c>
      <c r="I11">
        <v>177.5</v>
      </c>
      <c r="J11">
        <v>170</v>
      </c>
      <c r="K11">
        <v>165</v>
      </c>
      <c r="L11">
        <v>160</v>
      </c>
    </row>
    <row r="12" spans="1:12">
      <c r="A12" t="s">
        <v>308</v>
      </c>
      <c r="B12" t="s">
        <v>309</v>
      </c>
      <c r="C12" t="s">
        <v>223</v>
      </c>
      <c r="D12">
        <v>29.87</v>
      </c>
      <c r="E12">
        <v>32.2651658385093</v>
      </c>
      <c r="F12">
        <v>35.0647826086957</v>
      </c>
      <c r="G12">
        <v>38.7753416149068</v>
      </c>
      <c r="H12">
        <v>42.5230062111801</v>
      </c>
      <c r="I12">
        <v>46.2706708074534</v>
      </c>
      <c r="J12">
        <v>49.0721428571429</v>
      </c>
      <c r="K12">
        <v>53.6361304347826</v>
      </c>
      <c r="L12">
        <v>58.3670931677019</v>
      </c>
    </row>
    <row r="13" spans="1:12">
      <c r="A13" t="s">
        <v>310</v>
      </c>
      <c r="B13" t="s">
        <v>311</v>
      </c>
      <c r="C13" t="s">
        <v>223</v>
      </c>
      <c r="D13">
        <v>40.65</v>
      </c>
      <c r="E13">
        <v>43.9095745341615</v>
      </c>
      <c r="F13">
        <v>47.7195652173913</v>
      </c>
      <c r="G13">
        <v>52.7692546583851</v>
      </c>
      <c r="H13">
        <v>57.8694409937888</v>
      </c>
      <c r="I13">
        <v>62.9696273291925</v>
      </c>
      <c r="J13">
        <v>66.7821428571428</v>
      </c>
      <c r="K13">
        <v>72.9932608695652</v>
      </c>
      <c r="L13">
        <v>78.7751552795031</v>
      </c>
    </row>
    <row r="14" spans="1:12">
      <c r="A14" t="s">
        <v>312</v>
      </c>
      <c r="B14" t="s">
        <v>312</v>
      </c>
      <c r="C14" t="s">
        <v>223</v>
      </c>
      <c r="D14">
        <v>54.07</v>
      </c>
      <c r="E14">
        <v>54.3974425465838</v>
      </c>
      <c r="F14">
        <v>54.4058385093168</v>
      </c>
      <c r="G14">
        <v>54.2379192546584</v>
      </c>
      <c r="H14">
        <v>54.5569658385093</v>
      </c>
      <c r="I14">
        <v>54.8760124223602</v>
      </c>
      <c r="J14">
        <v>54.8424285714286</v>
      </c>
      <c r="K14">
        <v>51.8366739130435</v>
      </c>
      <c r="L14">
        <v>51.5176273291925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zoomScale="141" zoomScaleNormal="141" topLeftCell="A22" workbookViewId="0">
      <selection activeCell="F10" sqref="F10"/>
    </sheetView>
  </sheetViews>
  <sheetFormatPr defaultColWidth="9" defaultRowHeight="14" outlineLevelCol="3"/>
  <cols>
    <col min="1" max="1" width="12.775" customWidth="1"/>
    <col min="2" max="2" width="27.4416666666667" customWidth="1"/>
    <col min="4" max="4" width="12.6666666666667" style="6"/>
  </cols>
  <sheetData>
    <row r="1" spans="1:4">
      <c r="A1" s="6" t="s">
        <v>90</v>
      </c>
      <c r="B1" s="6" t="s">
        <v>313</v>
      </c>
      <c r="C1" s="6" t="s">
        <v>72</v>
      </c>
      <c r="D1" s="6" t="s">
        <v>314</v>
      </c>
    </row>
    <row r="2" spans="1:4">
      <c r="A2" t="s">
        <v>315</v>
      </c>
      <c r="B2" t="s">
        <v>74</v>
      </c>
      <c r="C2" t="s">
        <v>316</v>
      </c>
      <c r="D2" s="6">
        <v>111.51</v>
      </c>
    </row>
    <row r="3" spans="1:4">
      <c r="A3" t="s">
        <v>315</v>
      </c>
      <c r="B3" t="s">
        <v>89</v>
      </c>
      <c r="C3" t="s">
        <v>317</v>
      </c>
      <c r="D3" s="6">
        <v>63</v>
      </c>
    </row>
    <row r="4" spans="1:4">
      <c r="A4" t="s">
        <v>315</v>
      </c>
      <c r="B4" t="s">
        <v>318</v>
      </c>
      <c r="C4" t="s">
        <v>319</v>
      </c>
      <c r="D4" s="6">
        <v>0.98</v>
      </c>
    </row>
    <row r="5" spans="1:4">
      <c r="A5" t="s">
        <v>315</v>
      </c>
      <c r="B5" t="s">
        <v>320</v>
      </c>
      <c r="C5" t="s">
        <v>319</v>
      </c>
      <c r="D5" s="6">
        <v>0.98</v>
      </c>
    </row>
    <row r="6" spans="1:4">
      <c r="A6" t="s">
        <v>315</v>
      </c>
      <c r="B6" t="s">
        <v>321</v>
      </c>
      <c r="C6" t="s">
        <v>319</v>
      </c>
      <c r="D6" s="6">
        <v>0.98</v>
      </c>
    </row>
    <row r="7" spans="1:4">
      <c r="A7" s="4" t="s">
        <v>315</v>
      </c>
      <c r="B7" t="s">
        <v>322</v>
      </c>
      <c r="C7" t="s">
        <v>319</v>
      </c>
      <c r="D7" s="6">
        <v>0.98</v>
      </c>
    </row>
    <row r="8" spans="1:4">
      <c r="A8" t="s">
        <v>315</v>
      </c>
      <c r="B8" t="s">
        <v>323</v>
      </c>
      <c r="C8" t="s">
        <v>319</v>
      </c>
      <c r="D8" s="7">
        <v>0.98</v>
      </c>
    </row>
    <row r="9" spans="1:4">
      <c r="A9" t="s">
        <v>315</v>
      </c>
      <c r="B9" t="s">
        <v>324</v>
      </c>
      <c r="C9" t="s">
        <v>325</v>
      </c>
      <c r="D9" s="6" t="s">
        <v>326</v>
      </c>
    </row>
    <row r="10" spans="1:4">
      <c r="A10" t="s">
        <v>315</v>
      </c>
      <c r="B10" t="s">
        <v>327</v>
      </c>
      <c r="C10" t="s">
        <v>328</v>
      </c>
      <c r="D10" s="6" t="s">
        <v>329</v>
      </c>
    </row>
    <row r="11" spans="1:4">
      <c r="A11" t="s">
        <v>315</v>
      </c>
      <c r="B11" t="s">
        <v>330</v>
      </c>
      <c r="C11" t="s">
        <v>331</v>
      </c>
      <c r="D11" s="6" t="s">
        <v>332</v>
      </c>
    </row>
    <row r="12" spans="1:4">
      <c r="A12" t="s">
        <v>315</v>
      </c>
      <c r="B12" t="s">
        <v>333</v>
      </c>
      <c r="C12" t="s">
        <v>334</v>
      </c>
      <c r="D12" s="6">
        <v>0.6</v>
      </c>
    </row>
    <row r="13" spans="1:4">
      <c r="A13" t="s">
        <v>315</v>
      </c>
      <c r="B13" t="s">
        <v>335</v>
      </c>
      <c r="C13" t="s">
        <v>336</v>
      </c>
      <c r="D13" s="6">
        <v>650</v>
      </c>
    </row>
    <row r="14" spans="1:4">
      <c r="A14" t="s">
        <v>315</v>
      </c>
      <c r="B14" t="s">
        <v>337</v>
      </c>
      <c r="C14" t="s">
        <v>336</v>
      </c>
      <c r="D14" s="6">
        <v>900</v>
      </c>
    </row>
    <row r="15" spans="1:4">
      <c r="A15" s="4" t="s">
        <v>315</v>
      </c>
      <c r="B15" t="s">
        <v>338</v>
      </c>
      <c r="C15" t="s">
        <v>336</v>
      </c>
      <c r="D15" s="6">
        <v>1000</v>
      </c>
    </row>
    <row r="16" spans="1:4">
      <c r="A16" s="4" t="s">
        <v>315</v>
      </c>
      <c r="B16" t="s">
        <v>339</v>
      </c>
      <c r="C16" t="s">
        <v>336</v>
      </c>
      <c r="D16" s="6">
        <v>1100</v>
      </c>
    </row>
    <row r="17" spans="1:4">
      <c r="A17" s="4" t="s">
        <v>315</v>
      </c>
      <c r="B17" t="s">
        <v>340</v>
      </c>
      <c r="C17" t="s">
        <v>336</v>
      </c>
      <c r="D17" s="6">
        <v>1100</v>
      </c>
    </row>
    <row r="18" spans="1:4">
      <c r="A18" s="4" t="s">
        <v>315</v>
      </c>
      <c r="B18" t="s">
        <v>18</v>
      </c>
      <c r="C18" t="s">
        <v>341</v>
      </c>
      <c r="D18" s="6">
        <v>0.227</v>
      </c>
    </row>
    <row r="19" spans="1:4">
      <c r="A19" s="4" t="s">
        <v>342</v>
      </c>
      <c r="B19" t="s">
        <v>74</v>
      </c>
      <c r="C19" t="s">
        <v>343</v>
      </c>
      <c r="D19" s="6">
        <v>60.81</v>
      </c>
    </row>
    <row r="20" spans="1:4">
      <c r="A20" s="4" t="s">
        <v>342</v>
      </c>
      <c r="B20" t="s">
        <v>89</v>
      </c>
      <c r="C20" t="s">
        <v>343</v>
      </c>
      <c r="D20" s="6">
        <v>34.32</v>
      </c>
    </row>
    <row r="21" spans="1:4">
      <c r="A21" s="4" t="s">
        <v>342</v>
      </c>
      <c r="B21" t="s">
        <v>318</v>
      </c>
      <c r="C21" t="s">
        <v>344</v>
      </c>
      <c r="D21" s="6">
        <v>0.08</v>
      </c>
    </row>
    <row r="22" spans="1:4">
      <c r="A22" s="4" t="s">
        <v>342</v>
      </c>
      <c r="B22" t="s">
        <v>320</v>
      </c>
      <c r="C22" t="s">
        <v>344</v>
      </c>
      <c r="D22" s="6">
        <v>0.08</v>
      </c>
    </row>
    <row r="23" spans="1:4">
      <c r="A23" s="4" t="s">
        <v>342</v>
      </c>
      <c r="B23" t="s">
        <v>321</v>
      </c>
      <c r="C23" t="s">
        <v>344</v>
      </c>
      <c r="D23" s="6">
        <v>0.08</v>
      </c>
    </row>
    <row r="24" spans="1:4">
      <c r="A24" s="4" t="s">
        <v>342</v>
      </c>
      <c r="B24" t="s">
        <v>322</v>
      </c>
      <c r="C24" t="s">
        <v>344</v>
      </c>
      <c r="D24" s="6">
        <v>0.08</v>
      </c>
    </row>
    <row r="25" spans="1:4">
      <c r="A25" s="4" t="s">
        <v>342</v>
      </c>
      <c r="B25" t="s">
        <v>323</v>
      </c>
      <c r="C25" t="s">
        <v>344</v>
      </c>
      <c r="D25" s="6">
        <v>0.08</v>
      </c>
    </row>
    <row r="26" spans="1:4">
      <c r="A26" s="4" t="s">
        <v>342</v>
      </c>
      <c r="B26" t="s">
        <v>335</v>
      </c>
      <c r="C26" t="s">
        <v>345</v>
      </c>
      <c r="D26" s="6">
        <v>56.5</v>
      </c>
    </row>
    <row r="27" spans="1:4">
      <c r="A27" s="4" t="s">
        <v>342</v>
      </c>
      <c r="B27" t="s">
        <v>337</v>
      </c>
      <c r="C27" t="s">
        <v>345</v>
      </c>
      <c r="D27" s="6">
        <v>56.5</v>
      </c>
    </row>
    <row r="28" spans="1:4">
      <c r="A28" s="4" t="s">
        <v>342</v>
      </c>
      <c r="B28" t="s">
        <v>338</v>
      </c>
      <c r="C28" t="s">
        <v>345</v>
      </c>
      <c r="D28" s="6">
        <v>56.5</v>
      </c>
    </row>
    <row r="29" spans="1:4">
      <c r="A29" s="4" t="s">
        <v>342</v>
      </c>
      <c r="B29" t="s">
        <v>339</v>
      </c>
      <c r="C29" t="s">
        <v>345</v>
      </c>
      <c r="D29" s="6">
        <v>56.5</v>
      </c>
    </row>
    <row r="30" spans="1:4">
      <c r="A30" s="4" t="s">
        <v>342</v>
      </c>
      <c r="B30" t="s">
        <v>340</v>
      </c>
      <c r="C30" t="s">
        <v>345</v>
      </c>
      <c r="D30" s="6">
        <v>56.5</v>
      </c>
    </row>
    <row r="31" spans="1:4">
      <c r="A31" s="4" t="s">
        <v>342</v>
      </c>
      <c r="B31" t="s">
        <v>18</v>
      </c>
      <c r="C31" t="s">
        <v>346</v>
      </c>
      <c r="D31" s="6">
        <v>0</v>
      </c>
    </row>
    <row r="32" spans="1:4">
      <c r="A32" s="4" t="s">
        <v>347</v>
      </c>
      <c r="B32" t="s">
        <v>74</v>
      </c>
      <c r="C32" t="s">
        <v>348</v>
      </c>
      <c r="D32" s="6">
        <v>54.68</v>
      </c>
    </row>
    <row r="33" spans="1:4">
      <c r="A33" s="4" t="s">
        <v>347</v>
      </c>
      <c r="B33" t="s">
        <v>89</v>
      </c>
      <c r="C33" t="s">
        <v>348</v>
      </c>
      <c r="D33" s="6">
        <v>24.63</v>
      </c>
    </row>
    <row r="34" spans="1:4">
      <c r="A34" s="4" t="s">
        <v>347</v>
      </c>
      <c r="B34" t="s">
        <v>318</v>
      </c>
      <c r="C34" t="s">
        <v>349</v>
      </c>
      <c r="D34" s="6">
        <v>0.4</v>
      </c>
    </row>
    <row r="35" spans="1:4">
      <c r="A35" s="4" t="s">
        <v>347</v>
      </c>
      <c r="B35" t="s">
        <v>320</v>
      </c>
      <c r="C35" t="s">
        <v>349</v>
      </c>
      <c r="D35" s="6">
        <v>0.4</v>
      </c>
    </row>
    <row r="36" spans="1:4">
      <c r="A36" s="4" t="s">
        <v>347</v>
      </c>
      <c r="B36" t="s">
        <v>321</v>
      </c>
      <c r="C36" t="s">
        <v>349</v>
      </c>
      <c r="D36" s="6">
        <v>0.4</v>
      </c>
    </row>
    <row r="37" spans="1:4">
      <c r="A37" s="4" t="s">
        <v>347</v>
      </c>
      <c r="B37" t="s">
        <v>322</v>
      </c>
      <c r="C37" t="s">
        <v>349</v>
      </c>
      <c r="D37" s="6">
        <v>0.4</v>
      </c>
    </row>
    <row r="38" spans="1:4">
      <c r="A38" s="4" t="s">
        <v>347</v>
      </c>
      <c r="B38" t="s">
        <v>323</v>
      </c>
      <c r="C38" t="s">
        <v>349</v>
      </c>
      <c r="D38" s="6">
        <v>0.4</v>
      </c>
    </row>
    <row r="39" spans="1:4">
      <c r="A39" s="4" t="s">
        <v>347</v>
      </c>
      <c r="B39" t="s">
        <v>335</v>
      </c>
      <c r="C39" t="s">
        <v>336</v>
      </c>
      <c r="D39" s="6">
        <v>290</v>
      </c>
    </row>
    <row r="40" spans="1:4">
      <c r="A40" s="4" t="s">
        <v>347</v>
      </c>
      <c r="B40" t="s">
        <v>337</v>
      </c>
      <c r="C40" t="s">
        <v>336</v>
      </c>
      <c r="D40" s="6">
        <v>290</v>
      </c>
    </row>
    <row r="41" spans="1:4">
      <c r="A41" s="4" t="s">
        <v>347</v>
      </c>
      <c r="B41" t="s">
        <v>338</v>
      </c>
      <c r="C41" t="s">
        <v>336</v>
      </c>
      <c r="D41" s="6">
        <v>290</v>
      </c>
    </row>
    <row r="42" spans="1:4">
      <c r="A42" s="4" t="s">
        <v>347</v>
      </c>
      <c r="B42" t="s">
        <v>339</v>
      </c>
      <c r="C42" t="s">
        <v>336</v>
      </c>
      <c r="D42" s="6">
        <v>290</v>
      </c>
    </row>
    <row r="43" spans="1:4">
      <c r="A43" s="4" t="s">
        <v>347</v>
      </c>
      <c r="B43" t="s">
        <v>340</v>
      </c>
      <c r="C43" t="s">
        <v>336</v>
      </c>
      <c r="D43" s="6">
        <v>290</v>
      </c>
    </row>
    <row r="44" spans="1:4">
      <c r="A44" s="4" t="s">
        <v>347</v>
      </c>
      <c r="B44" t="s">
        <v>18</v>
      </c>
      <c r="C44" t="s">
        <v>350</v>
      </c>
      <c r="D44" s="6">
        <v>0</v>
      </c>
    </row>
    <row r="45" spans="1:4">
      <c r="A45" s="4" t="s">
        <v>351</v>
      </c>
      <c r="B45" t="s">
        <v>74</v>
      </c>
      <c r="C45" t="s">
        <v>352</v>
      </c>
      <c r="D45" s="6">
        <v>113.24</v>
      </c>
    </row>
    <row r="46" spans="1:4">
      <c r="A46" s="4" t="s">
        <v>351</v>
      </c>
      <c r="B46" t="s">
        <v>89</v>
      </c>
      <c r="C46" t="s">
        <v>352</v>
      </c>
      <c r="D46" s="6">
        <v>75</v>
      </c>
    </row>
    <row r="47" spans="1:4">
      <c r="A47" s="4" t="s">
        <v>351</v>
      </c>
      <c r="B47" t="s">
        <v>318</v>
      </c>
      <c r="C47" t="s">
        <v>353</v>
      </c>
      <c r="D47" s="6">
        <v>0.8</v>
      </c>
    </row>
    <row r="48" spans="1:4">
      <c r="A48" s="4" t="s">
        <v>351</v>
      </c>
      <c r="B48" t="s">
        <v>320</v>
      </c>
      <c r="C48" t="s">
        <v>353</v>
      </c>
      <c r="D48" s="6">
        <v>0.8</v>
      </c>
    </row>
    <row r="49" spans="1:4">
      <c r="A49" s="4" t="s">
        <v>351</v>
      </c>
      <c r="B49" t="s">
        <v>321</v>
      </c>
      <c r="C49" t="s">
        <v>353</v>
      </c>
      <c r="D49" s="6">
        <v>0.8</v>
      </c>
    </row>
    <row r="50" spans="1:4">
      <c r="A50" s="4" t="s">
        <v>351</v>
      </c>
      <c r="B50" t="s">
        <v>322</v>
      </c>
      <c r="C50" t="s">
        <v>353</v>
      </c>
      <c r="D50" s="6">
        <v>0.8</v>
      </c>
    </row>
    <row r="51" spans="1:4">
      <c r="A51" s="4" t="s">
        <v>351</v>
      </c>
      <c r="B51" t="s">
        <v>323</v>
      </c>
      <c r="C51" t="s">
        <v>353</v>
      </c>
      <c r="D51" s="6">
        <v>0.8</v>
      </c>
    </row>
    <row r="52" spans="1:4">
      <c r="A52" s="4" t="s">
        <v>351</v>
      </c>
      <c r="B52" t="s">
        <v>335</v>
      </c>
      <c r="C52" t="s">
        <v>354</v>
      </c>
      <c r="D52" s="6">
        <v>400</v>
      </c>
    </row>
    <row r="53" spans="1:4">
      <c r="A53" s="4" t="s">
        <v>351</v>
      </c>
      <c r="B53" t="s">
        <v>337</v>
      </c>
      <c r="C53" t="s">
        <v>354</v>
      </c>
      <c r="D53" s="6">
        <v>500</v>
      </c>
    </row>
    <row r="54" spans="1:4">
      <c r="A54" s="4" t="s">
        <v>351</v>
      </c>
      <c r="B54" t="s">
        <v>338</v>
      </c>
      <c r="C54" t="s">
        <v>354</v>
      </c>
      <c r="D54" s="6">
        <v>600</v>
      </c>
    </row>
    <row r="55" spans="1:4">
      <c r="A55" s="4" t="s">
        <v>351</v>
      </c>
      <c r="B55" t="s">
        <v>339</v>
      </c>
      <c r="C55" t="s">
        <v>354</v>
      </c>
      <c r="D55" s="6">
        <v>650</v>
      </c>
    </row>
    <row r="56" spans="1:4">
      <c r="A56" s="4" t="s">
        <v>351</v>
      </c>
      <c r="B56" t="s">
        <v>340</v>
      </c>
      <c r="C56" t="s">
        <v>354</v>
      </c>
      <c r="D56" s="6">
        <v>650</v>
      </c>
    </row>
    <row r="57" spans="1:4">
      <c r="A57" s="4" t="s">
        <v>351</v>
      </c>
      <c r="B57" t="s">
        <v>18</v>
      </c>
      <c r="C57" t="s">
        <v>355</v>
      </c>
      <c r="D57" s="6">
        <v>0.455</v>
      </c>
    </row>
    <row r="58" spans="1:4">
      <c r="A58" s="4" t="s">
        <v>356</v>
      </c>
      <c r="B58" t="s">
        <v>74</v>
      </c>
      <c r="C58" t="s">
        <v>343</v>
      </c>
      <c r="D58" s="6">
        <v>73.96</v>
      </c>
    </row>
    <row r="59" spans="1:4">
      <c r="A59" s="4" t="s">
        <v>356</v>
      </c>
      <c r="B59" t="s">
        <v>89</v>
      </c>
      <c r="C59" t="s">
        <v>343</v>
      </c>
      <c r="D59" s="6">
        <v>41.63</v>
      </c>
    </row>
    <row r="60" ht="15.5" spans="1:4">
      <c r="A60" s="4" t="s">
        <v>356</v>
      </c>
      <c r="B60" t="s">
        <v>318</v>
      </c>
      <c r="C60" s="8" t="s">
        <v>357</v>
      </c>
      <c r="D60" s="6">
        <v>0.854700854700855</v>
      </c>
    </row>
    <row r="61" spans="1:4">
      <c r="A61" s="4" t="s">
        <v>356</v>
      </c>
      <c r="B61" t="s">
        <v>320</v>
      </c>
      <c r="C61" t="s">
        <v>357</v>
      </c>
      <c r="D61" s="6">
        <v>0.854700854700855</v>
      </c>
    </row>
    <row r="62" spans="1:4">
      <c r="A62" s="4" t="s">
        <v>356</v>
      </c>
      <c r="B62" t="s">
        <v>321</v>
      </c>
      <c r="C62" t="s">
        <v>357</v>
      </c>
      <c r="D62" s="6">
        <v>0.854700854700855</v>
      </c>
    </row>
    <row r="63" spans="1:4">
      <c r="A63" s="4" t="s">
        <v>356</v>
      </c>
      <c r="B63" t="s">
        <v>322</v>
      </c>
      <c r="C63" t="s">
        <v>357</v>
      </c>
      <c r="D63" s="6">
        <v>0.854700854700855</v>
      </c>
    </row>
    <row r="64" spans="1:4">
      <c r="A64" s="4" t="s">
        <v>356</v>
      </c>
      <c r="B64" t="s">
        <v>323</v>
      </c>
      <c r="C64" t="s">
        <v>357</v>
      </c>
      <c r="D64" s="6">
        <v>0.854700854700855</v>
      </c>
    </row>
    <row r="65" spans="1:4">
      <c r="A65" t="s">
        <v>356</v>
      </c>
      <c r="B65" t="s">
        <v>335</v>
      </c>
      <c r="C65" t="s">
        <v>358</v>
      </c>
      <c r="D65" s="6">
        <v>610</v>
      </c>
    </row>
    <row r="66" spans="1:4">
      <c r="A66" t="s">
        <v>356</v>
      </c>
      <c r="B66" t="s">
        <v>337</v>
      </c>
      <c r="C66" t="s">
        <v>358</v>
      </c>
      <c r="D66" s="6">
        <v>850</v>
      </c>
    </row>
    <row r="67" spans="1:4">
      <c r="A67" t="s">
        <v>356</v>
      </c>
      <c r="B67" t="s">
        <v>338</v>
      </c>
      <c r="C67" t="s">
        <v>358</v>
      </c>
      <c r="D67" s="6">
        <v>950</v>
      </c>
    </row>
    <row r="68" spans="1:4">
      <c r="A68" t="s">
        <v>356</v>
      </c>
      <c r="B68" t="s">
        <v>339</v>
      </c>
      <c r="C68" t="s">
        <v>358</v>
      </c>
      <c r="D68" s="6">
        <v>1000</v>
      </c>
    </row>
    <row r="69" spans="1:4">
      <c r="A69" t="s">
        <v>356</v>
      </c>
      <c r="B69" t="s">
        <v>340</v>
      </c>
      <c r="C69" t="s">
        <v>358</v>
      </c>
      <c r="D69" s="6">
        <v>1000</v>
      </c>
    </row>
    <row r="70" spans="1:4">
      <c r="A70" t="s">
        <v>356</v>
      </c>
      <c r="B70" t="s">
        <v>18</v>
      </c>
      <c r="C70" t="s">
        <v>346</v>
      </c>
      <c r="D70" s="6">
        <v>0.178</v>
      </c>
    </row>
    <row r="71" spans="1:4">
      <c r="A71" t="s">
        <v>356</v>
      </c>
      <c r="B71" t="s">
        <v>359</v>
      </c>
      <c r="C71" t="s">
        <v>360</v>
      </c>
      <c r="D71" s="6">
        <v>0.05</v>
      </c>
    </row>
    <row r="72" spans="1:4">
      <c r="A72" t="s">
        <v>361</v>
      </c>
      <c r="B72" t="s">
        <v>74</v>
      </c>
      <c r="C72" t="s">
        <v>352</v>
      </c>
      <c r="D72" s="6">
        <v>39.08</v>
      </c>
    </row>
    <row r="73" spans="1:4">
      <c r="A73" t="s">
        <v>361</v>
      </c>
      <c r="B73" t="s">
        <v>89</v>
      </c>
      <c r="C73" t="s">
        <v>352</v>
      </c>
      <c r="D73" s="6">
        <v>22</v>
      </c>
    </row>
    <row r="74" spans="1:4">
      <c r="A74" t="s">
        <v>361</v>
      </c>
      <c r="B74" t="s">
        <v>318</v>
      </c>
      <c r="C74" t="s">
        <v>362</v>
      </c>
      <c r="D74" s="6">
        <f>1/3.27</f>
        <v>0.305810397553517</v>
      </c>
    </row>
    <row r="75" spans="1:4">
      <c r="A75" t="s">
        <v>361</v>
      </c>
      <c r="B75" t="s">
        <v>320</v>
      </c>
      <c r="C75" t="s">
        <v>362</v>
      </c>
      <c r="D75" s="6">
        <f t="shared" ref="D75:D78" si="0">1/3.27</f>
        <v>0.305810397553517</v>
      </c>
    </row>
    <row r="76" spans="1:4">
      <c r="A76" t="s">
        <v>361</v>
      </c>
      <c r="B76" t="s">
        <v>321</v>
      </c>
      <c r="C76" t="s">
        <v>362</v>
      </c>
      <c r="D76" s="6">
        <f t="shared" si="0"/>
        <v>0.305810397553517</v>
      </c>
    </row>
    <row r="77" spans="1:4">
      <c r="A77" t="s">
        <v>361</v>
      </c>
      <c r="B77" t="s">
        <v>322</v>
      </c>
      <c r="C77" t="s">
        <v>362</v>
      </c>
      <c r="D77" s="6">
        <f t="shared" si="0"/>
        <v>0.305810397553517</v>
      </c>
    </row>
    <row r="78" spans="1:4">
      <c r="A78" t="s">
        <v>361</v>
      </c>
      <c r="B78" t="s">
        <v>323</v>
      </c>
      <c r="C78" t="s">
        <v>362</v>
      </c>
      <c r="D78" s="6">
        <f t="shared" si="0"/>
        <v>0.305810397553517</v>
      </c>
    </row>
    <row r="79" spans="1:4">
      <c r="A79" t="s">
        <v>361</v>
      </c>
      <c r="B79" t="s">
        <v>335</v>
      </c>
      <c r="C79" t="s">
        <v>363</v>
      </c>
      <c r="D79" s="6">
        <v>270</v>
      </c>
    </row>
    <row r="80" spans="1:4">
      <c r="A80" t="s">
        <v>361</v>
      </c>
      <c r="B80" t="s">
        <v>337</v>
      </c>
      <c r="C80" t="s">
        <v>363</v>
      </c>
      <c r="D80" s="6">
        <v>320</v>
      </c>
    </row>
    <row r="81" spans="1:4">
      <c r="A81" t="s">
        <v>361</v>
      </c>
      <c r="B81" t="s">
        <v>338</v>
      </c>
      <c r="C81" t="s">
        <v>363</v>
      </c>
      <c r="D81" s="6">
        <v>330</v>
      </c>
    </row>
    <row r="82" spans="1:4">
      <c r="A82" t="s">
        <v>361</v>
      </c>
      <c r="B82" t="s">
        <v>339</v>
      </c>
      <c r="C82" t="s">
        <v>363</v>
      </c>
      <c r="D82" s="6">
        <v>340</v>
      </c>
    </row>
    <row r="83" spans="1:4">
      <c r="A83" t="s">
        <v>361</v>
      </c>
      <c r="B83" t="s">
        <v>340</v>
      </c>
      <c r="C83" t="s">
        <v>363</v>
      </c>
      <c r="D83" s="6">
        <v>345</v>
      </c>
    </row>
    <row r="84" spans="1:4">
      <c r="A84" t="s">
        <v>361</v>
      </c>
      <c r="B84" t="s">
        <v>18</v>
      </c>
      <c r="C84" t="s">
        <v>364</v>
      </c>
      <c r="D84" s="6">
        <v>0.051</v>
      </c>
    </row>
    <row r="85" spans="1:4">
      <c r="A85" s="4" t="s">
        <v>365</v>
      </c>
      <c r="B85" t="s">
        <v>260</v>
      </c>
      <c r="C85" t="s">
        <v>366</v>
      </c>
      <c r="D85" s="6">
        <v>1.375</v>
      </c>
    </row>
    <row r="86" spans="1:4">
      <c r="A86" s="4" t="s">
        <v>365</v>
      </c>
      <c r="B86" t="s">
        <v>308</v>
      </c>
      <c r="C86" t="s">
        <v>367</v>
      </c>
      <c r="D86" s="6">
        <v>3.1429</v>
      </c>
    </row>
    <row r="87" spans="1:4">
      <c r="A87" s="4" t="s">
        <v>365</v>
      </c>
      <c r="B87" t="s">
        <v>310</v>
      </c>
      <c r="C87" t="s">
        <v>368</v>
      </c>
      <c r="D87" s="6">
        <v>3.1429</v>
      </c>
    </row>
    <row r="88" spans="1:4">
      <c r="A88" s="4" t="s">
        <v>365</v>
      </c>
      <c r="B88" t="s">
        <v>312</v>
      </c>
      <c r="C88" t="s">
        <v>369</v>
      </c>
      <c r="D88" s="6">
        <v>3.35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10" sqref="D10"/>
    </sheetView>
  </sheetViews>
  <sheetFormatPr defaultColWidth="9" defaultRowHeight="14" outlineLevelRow="2" outlineLevelCol="6"/>
  <cols>
    <col min="1" max="1" width="15.8333333333333" customWidth="1"/>
  </cols>
  <sheetData>
    <row r="1" spans="1:7">
      <c r="A1" s="4" t="s">
        <v>370</v>
      </c>
      <c r="B1" s="4" t="s">
        <v>72</v>
      </c>
      <c r="C1">
        <v>2020</v>
      </c>
      <c r="D1">
        <v>2030</v>
      </c>
      <c r="E1">
        <v>2040</v>
      </c>
      <c r="F1">
        <v>2050</v>
      </c>
      <c r="G1">
        <v>2060</v>
      </c>
    </row>
    <row r="2" ht="15" spans="1:7">
      <c r="A2" s="5" t="s">
        <v>371</v>
      </c>
      <c r="B2">
        <v>1</v>
      </c>
      <c r="C2">
        <v>0.185</v>
      </c>
      <c r="D2">
        <v>0.25</v>
      </c>
      <c r="E2">
        <v>0.35</v>
      </c>
      <c r="F2">
        <v>0.55</v>
      </c>
      <c r="G2">
        <v>0.65</v>
      </c>
    </row>
    <row r="3" spans="1:7">
      <c r="A3" s="4"/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139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76</v>
      </c>
    </row>
    <row r="2" spans="1:7">
      <c r="A2" t="s">
        <v>144</v>
      </c>
      <c r="B2">
        <v>158.642444365391</v>
      </c>
      <c r="C2">
        <v>31.2121597355865</v>
      </c>
      <c r="D2">
        <v>0</v>
      </c>
      <c r="E2">
        <v>11.2585436486536</v>
      </c>
      <c r="F2">
        <v>189.854604100977</v>
      </c>
      <c r="G2">
        <v>11.2585436486536</v>
      </c>
    </row>
    <row r="3" spans="1:7">
      <c r="A3" t="s">
        <v>146</v>
      </c>
      <c r="B3">
        <v>37.104039724273</v>
      </c>
      <c r="C3">
        <v>4.90403959227326</v>
      </c>
      <c r="D3">
        <v>0</v>
      </c>
      <c r="E3">
        <v>2.52323512952036</v>
      </c>
      <c r="F3">
        <v>42.0080793165463</v>
      </c>
      <c r="G3">
        <v>2.52323512952036</v>
      </c>
    </row>
    <row r="4" spans="1:7">
      <c r="A4" t="s">
        <v>148</v>
      </c>
      <c r="B4">
        <v>17.3433238819819</v>
      </c>
      <c r="C4">
        <v>19.5885188666719</v>
      </c>
      <c r="D4">
        <v>0</v>
      </c>
      <c r="E4">
        <v>2.64773922303452</v>
      </c>
      <c r="F4">
        <v>36.9318427486539</v>
      </c>
      <c r="G4">
        <v>2.64773922303452</v>
      </c>
    </row>
    <row r="5" spans="1:7">
      <c r="A5" t="s">
        <v>150</v>
      </c>
      <c r="B5">
        <v>47.4278706364524</v>
      </c>
      <c r="C5">
        <v>101.866432836352</v>
      </c>
      <c r="D5">
        <v>68.8157644883174</v>
      </c>
      <c r="E5">
        <v>7.61899012089576</v>
      </c>
      <c r="F5">
        <v>149.294303472804</v>
      </c>
      <c r="G5">
        <v>76.4347546092132</v>
      </c>
    </row>
    <row r="6" spans="1:7">
      <c r="A6" t="s">
        <v>152</v>
      </c>
      <c r="B6">
        <v>12.0338646489257</v>
      </c>
      <c r="C6">
        <v>2400.00026624659</v>
      </c>
      <c r="D6">
        <v>0</v>
      </c>
      <c r="E6">
        <v>159.233157163446</v>
      </c>
      <c r="F6">
        <v>2412.03413089551</v>
      </c>
      <c r="G6">
        <v>159.233157163446</v>
      </c>
    </row>
    <row r="7" spans="1:7">
      <c r="A7" t="s">
        <v>154</v>
      </c>
      <c r="B7">
        <v>121.52550259289</v>
      </c>
      <c r="C7">
        <v>186.84068746337</v>
      </c>
      <c r="D7">
        <v>176.66519675979</v>
      </c>
      <c r="E7">
        <v>33.8490789163054</v>
      </c>
      <c r="F7">
        <v>308.36619005626</v>
      </c>
      <c r="G7">
        <v>210.514275676096</v>
      </c>
    </row>
    <row r="8" spans="1:7">
      <c r="A8" t="s">
        <v>156</v>
      </c>
      <c r="B8">
        <v>65.9079710793929</v>
      </c>
      <c r="C8">
        <v>272.5168864767</v>
      </c>
      <c r="D8">
        <v>49.0687643668702</v>
      </c>
      <c r="E8">
        <v>108.158052971224</v>
      </c>
      <c r="F8">
        <v>338.424857556093</v>
      </c>
      <c r="G8">
        <v>157.226817338094</v>
      </c>
    </row>
    <row r="9" spans="1:7">
      <c r="A9" t="s">
        <v>158</v>
      </c>
      <c r="B9">
        <v>9.63881856511687</v>
      </c>
      <c r="C9">
        <v>105.447049247234</v>
      </c>
      <c r="D9">
        <v>0</v>
      </c>
      <c r="E9">
        <v>42.4783707958706</v>
      </c>
      <c r="F9">
        <v>115.085867812351</v>
      </c>
      <c r="G9">
        <v>42.4783707958706</v>
      </c>
    </row>
    <row r="10" spans="1:7">
      <c r="A10" t="s">
        <v>160</v>
      </c>
      <c r="B10">
        <v>15.5580286130604</v>
      </c>
      <c r="C10">
        <v>88.0274619617467</v>
      </c>
      <c r="D10">
        <v>42.7249929175021</v>
      </c>
      <c r="E10">
        <v>10.1425216560806</v>
      </c>
      <c r="F10">
        <v>103.585490574807</v>
      </c>
      <c r="G10">
        <v>52.8675145735827</v>
      </c>
    </row>
    <row r="11" spans="1:7">
      <c r="A11" t="s">
        <v>162</v>
      </c>
      <c r="B11">
        <v>145.179268070787</v>
      </c>
      <c r="C11">
        <v>87.8190259897266</v>
      </c>
      <c r="D11">
        <v>55.7471156495679</v>
      </c>
      <c r="E11">
        <v>22.44</v>
      </c>
      <c r="F11">
        <v>232.998294060514</v>
      </c>
      <c r="G11">
        <v>78.1871156495679</v>
      </c>
    </row>
    <row r="12" spans="1:7">
      <c r="A12" t="s">
        <v>164</v>
      </c>
      <c r="B12">
        <v>27.3554294907121</v>
      </c>
      <c r="C12">
        <v>734.165306184657</v>
      </c>
      <c r="D12">
        <v>0</v>
      </c>
      <c r="E12">
        <v>75.4065604561857</v>
      </c>
      <c r="F12">
        <v>761.520735675369</v>
      </c>
      <c r="G12">
        <v>75.4065604561857</v>
      </c>
    </row>
    <row r="13" spans="1:7">
      <c r="A13" t="s">
        <v>166</v>
      </c>
      <c r="B13">
        <v>204.14712415181</v>
      </c>
      <c r="C13">
        <v>31.1793045285753</v>
      </c>
      <c r="D13">
        <v>0</v>
      </c>
      <c r="E13">
        <v>15.18</v>
      </c>
      <c r="F13">
        <v>235.326428680385</v>
      </c>
      <c r="G13">
        <v>15.18</v>
      </c>
    </row>
    <row r="14" spans="1:7">
      <c r="A14" t="s">
        <v>168</v>
      </c>
      <c r="B14">
        <v>91.6976594723019</v>
      </c>
      <c r="C14">
        <v>221.39691484528</v>
      </c>
      <c r="D14">
        <v>0</v>
      </c>
      <c r="E14">
        <v>45.7193814443091</v>
      </c>
      <c r="F14">
        <v>313.094574317582</v>
      </c>
      <c r="G14">
        <v>45.7193814443091</v>
      </c>
    </row>
    <row r="15" spans="1:7">
      <c r="A15" t="s">
        <v>170</v>
      </c>
      <c r="B15">
        <v>54.8218958394079</v>
      </c>
      <c r="C15">
        <v>176.523646200387</v>
      </c>
      <c r="D15">
        <v>0</v>
      </c>
      <c r="E15">
        <v>65.2446988736429</v>
      </c>
      <c r="F15">
        <v>231.345542039795</v>
      </c>
      <c r="G15">
        <v>65.2446988736429</v>
      </c>
    </row>
    <row r="16" spans="1:7">
      <c r="A16" t="s">
        <v>172</v>
      </c>
      <c r="B16">
        <v>101.00716834852</v>
      </c>
      <c r="C16">
        <v>14528.6536822465</v>
      </c>
      <c r="D16">
        <v>0</v>
      </c>
      <c r="E16">
        <v>636.356386242809</v>
      </c>
      <c r="F16">
        <v>14629.660850595</v>
      </c>
      <c r="G16">
        <v>636.356386242809</v>
      </c>
    </row>
    <row r="17" spans="1:7">
      <c r="A17" t="s">
        <v>174</v>
      </c>
      <c r="B17">
        <v>233.931121764538</v>
      </c>
      <c r="C17">
        <v>21.8851415753245</v>
      </c>
      <c r="D17">
        <v>106.360488004393</v>
      </c>
      <c r="E17">
        <v>8.654</v>
      </c>
      <c r="F17">
        <v>255.816263339862</v>
      </c>
      <c r="G17">
        <v>115.014488004393</v>
      </c>
    </row>
    <row r="18" spans="1:7">
      <c r="A18" t="s">
        <v>176</v>
      </c>
      <c r="B18">
        <v>24.2515504344203</v>
      </c>
      <c r="C18">
        <v>208.881977795826</v>
      </c>
      <c r="D18">
        <v>0</v>
      </c>
      <c r="E18">
        <v>56.6227803900877</v>
      </c>
      <c r="F18">
        <v>233.133528230247</v>
      </c>
      <c r="G18">
        <v>56.6227803900877</v>
      </c>
    </row>
    <row r="19" spans="1:7">
      <c r="A19" t="s">
        <v>178</v>
      </c>
      <c r="B19">
        <v>29.0679934674359</v>
      </c>
      <c r="C19">
        <v>544.807017607756</v>
      </c>
      <c r="D19">
        <v>0</v>
      </c>
      <c r="E19">
        <v>49.6035131464594</v>
      </c>
      <c r="F19">
        <v>573.875011075192</v>
      </c>
      <c r="G19">
        <v>49.6035131464594</v>
      </c>
    </row>
    <row r="20" spans="1:7">
      <c r="A20" t="s">
        <v>180</v>
      </c>
      <c r="B20">
        <v>64.8743192024811</v>
      </c>
      <c r="C20">
        <v>215.116347104735</v>
      </c>
      <c r="D20">
        <v>163.564582740928</v>
      </c>
      <c r="E20">
        <v>20.4298553609317</v>
      </c>
      <c r="F20">
        <v>279.990666307216</v>
      </c>
      <c r="G20">
        <v>183.994438101859</v>
      </c>
    </row>
    <row r="21" spans="1:7">
      <c r="A21" t="s">
        <v>182</v>
      </c>
      <c r="B21">
        <v>17.7101872649186</v>
      </c>
      <c r="C21">
        <v>537.283096008472</v>
      </c>
      <c r="D21">
        <v>0</v>
      </c>
      <c r="E21">
        <v>39.6268938289613</v>
      </c>
      <c r="F21">
        <v>554.99328327339</v>
      </c>
      <c r="G21">
        <v>39.6268938289613</v>
      </c>
    </row>
    <row r="22" spans="1:7">
      <c r="A22" t="s">
        <v>184</v>
      </c>
      <c r="B22">
        <v>12.8842718596642</v>
      </c>
      <c r="C22">
        <v>6793.10340749335</v>
      </c>
      <c r="D22">
        <v>0</v>
      </c>
      <c r="E22">
        <v>71.8065843658422</v>
      </c>
      <c r="F22">
        <v>6805.98767935301</v>
      </c>
      <c r="G22">
        <v>71.8065843658422</v>
      </c>
    </row>
    <row r="23" spans="1:7">
      <c r="A23" t="s">
        <v>186</v>
      </c>
      <c r="B23">
        <v>25.696249408462</v>
      </c>
      <c r="C23">
        <v>184.082979996717</v>
      </c>
      <c r="D23">
        <v>0</v>
      </c>
      <c r="E23">
        <v>10.8844220440265</v>
      </c>
      <c r="F23">
        <v>209.779229405179</v>
      </c>
      <c r="G23">
        <v>10.8844220440265</v>
      </c>
    </row>
    <row r="24" spans="1:7">
      <c r="A24" t="s">
        <v>188</v>
      </c>
      <c r="B24">
        <v>282.393406289205</v>
      </c>
      <c r="C24">
        <v>161.20246690126</v>
      </c>
      <c r="D24">
        <v>173.181996956637</v>
      </c>
      <c r="E24">
        <v>17.935</v>
      </c>
      <c r="F24">
        <v>443.595873190466</v>
      </c>
      <c r="G24">
        <v>191.116996956637</v>
      </c>
    </row>
    <row r="25" spans="1:7">
      <c r="A25" t="s">
        <v>190</v>
      </c>
      <c r="B25">
        <v>22.3643679995112</v>
      </c>
      <c r="C25">
        <v>1.10733929396494</v>
      </c>
      <c r="D25">
        <v>28.9548370864356</v>
      </c>
      <c r="E25">
        <v>0.61</v>
      </c>
      <c r="F25">
        <v>23.4717072934761</v>
      </c>
      <c r="G25">
        <v>29.5648370864356</v>
      </c>
    </row>
    <row r="26" spans="1:7">
      <c r="A26" t="s">
        <v>192</v>
      </c>
      <c r="B26">
        <v>57.0954738808124</v>
      </c>
      <c r="C26">
        <v>463.753081625927</v>
      </c>
      <c r="D26">
        <v>0</v>
      </c>
      <c r="E26">
        <v>41.3009098478356</v>
      </c>
      <c r="F26">
        <v>520.848555506739</v>
      </c>
      <c r="G26">
        <v>41.3009098478356</v>
      </c>
    </row>
    <row r="27" spans="1:7">
      <c r="A27" t="s">
        <v>194</v>
      </c>
      <c r="B27">
        <v>7.08399530148793</v>
      </c>
      <c r="C27">
        <v>145.803598641754</v>
      </c>
      <c r="D27">
        <v>0</v>
      </c>
      <c r="E27">
        <v>31.2474583167866</v>
      </c>
      <c r="F27">
        <v>152.887593943242</v>
      </c>
      <c r="G27">
        <v>31.2474583167866</v>
      </c>
    </row>
    <row r="28" spans="1:7">
      <c r="A28" t="s">
        <v>196</v>
      </c>
      <c r="B28">
        <v>33.811569212225</v>
      </c>
      <c r="C28">
        <v>24.5960963223466</v>
      </c>
      <c r="D28">
        <v>5.09219524003114</v>
      </c>
      <c r="E28">
        <v>1.28569782234901</v>
      </c>
      <c r="F28">
        <v>58.4076655345717</v>
      </c>
      <c r="G28">
        <v>6.37789306238015</v>
      </c>
    </row>
    <row r="29" spans="1:7">
      <c r="A29" t="s">
        <v>377</v>
      </c>
      <c r="B29">
        <v>2.82429599954458</v>
      </c>
      <c r="C29">
        <v>3892.41154442166</v>
      </c>
      <c r="D29">
        <v>0</v>
      </c>
      <c r="E29">
        <v>122.83862542399</v>
      </c>
      <c r="F29">
        <v>3895.23584042121</v>
      </c>
      <c r="G29">
        <v>122.83862542399</v>
      </c>
    </row>
    <row r="30" spans="1:7">
      <c r="A30" t="s">
        <v>198</v>
      </c>
      <c r="B30">
        <v>25.6171277766122</v>
      </c>
      <c r="C30">
        <v>5693.5346455363</v>
      </c>
      <c r="D30">
        <v>0</v>
      </c>
      <c r="E30">
        <v>565.126506584636</v>
      </c>
      <c r="F30">
        <v>5719.15177331291</v>
      </c>
      <c r="G30">
        <v>565.126506584636</v>
      </c>
    </row>
    <row r="31" spans="1:7">
      <c r="A31" t="s">
        <v>200</v>
      </c>
      <c r="B31">
        <v>22.4318615687967</v>
      </c>
      <c r="C31">
        <v>133.739622229045</v>
      </c>
      <c r="D31">
        <v>0</v>
      </c>
      <c r="E31">
        <v>51.5286304047434</v>
      </c>
      <c r="F31">
        <v>156.171483797842</v>
      </c>
      <c r="G31">
        <v>51.5286304047434</v>
      </c>
    </row>
    <row r="32" spans="1:7">
      <c r="A32" t="s">
        <v>202</v>
      </c>
      <c r="B32">
        <v>90.3315862986107</v>
      </c>
      <c r="C32">
        <v>43.9332914097811</v>
      </c>
      <c r="D32">
        <v>107.105812322557</v>
      </c>
      <c r="E32">
        <v>4.19577493131829</v>
      </c>
      <c r="F32">
        <v>134.264877708391</v>
      </c>
      <c r="G32">
        <v>111.301587253875</v>
      </c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9" sqref="G9"/>
    </sheetView>
  </sheetViews>
  <sheetFormatPr defaultColWidth="9" defaultRowHeight="14" outlineLevelCol="2"/>
  <cols>
    <col min="1" max="1" width="16" customWidth="1"/>
    <col min="2" max="3" width="13.4416666666667" customWidth="1"/>
  </cols>
  <sheetData>
    <row r="1" spans="1:3">
      <c r="A1" s="4" t="s">
        <v>90</v>
      </c>
      <c r="B1" t="s">
        <v>378</v>
      </c>
      <c r="C1" t="s">
        <v>379</v>
      </c>
    </row>
    <row r="2" spans="1:3">
      <c r="A2" t="s">
        <v>114</v>
      </c>
      <c r="B2">
        <v>4.67339953299918</v>
      </c>
      <c r="C2">
        <v>1.50067220255107</v>
      </c>
    </row>
    <row r="3" spans="1:3">
      <c r="A3" t="s">
        <v>260</v>
      </c>
      <c r="B3">
        <v>12.4782461870398</v>
      </c>
      <c r="C3">
        <v>0.138057246323173</v>
      </c>
    </row>
    <row r="4" spans="1:3">
      <c r="A4" t="s">
        <v>122</v>
      </c>
      <c r="B4">
        <v>10.4159649384706</v>
      </c>
      <c r="C4">
        <v>0.138822259627807</v>
      </c>
    </row>
    <row r="5" spans="1:3">
      <c r="A5" t="s">
        <v>125</v>
      </c>
      <c r="B5">
        <v>10.4159649384706</v>
      </c>
      <c r="C5">
        <v>0.138822259627807</v>
      </c>
    </row>
    <row r="6" spans="1:3">
      <c r="A6" t="s">
        <v>129</v>
      </c>
      <c r="B6">
        <v>-9.97290103162014</v>
      </c>
      <c r="C6">
        <v>0.382227941593799</v>
      </c>
    </row>
    <row r="7" spans="1:3">
      <c r="A7" t="s">
        <v>123</v>
      </c>
      <c r="B7">
        <v>3.71170211029961</v>
      </c>
      <c r="C7">
        <v>0.116593428565238</v>
      </c>
    </row>
    <row r="8" spans="1:3">
      <c r="A8" t="s">
        <v>127</v>
      </c>
      <c r="B8">
        <v>3.71170211029961</v>
      </c>
      <c r="C8">
        <v>0.116593428565238</v>
      </c>
    </row>
    <row r="9" spans="1:3">
      <c r="A9" t="s">
        <v>128</v>
      </c>
      <c r="B9">
        <v>7.45000900553832</v>
      </c>
      <c r="C9">
        <v>0.747439566271918</v>
      </c>
    </row>
    <row r="10" spans="1:3">
      <c r="A10" t="s">
        <v>130</v>
      </c>
      <c r="B10">
        <v>-9.97290103162014</v>
      </c>
      <c r="C10">
        <v>0.382227941593799</v>
      </c>
    </row>
    <row r="11" spans="1:3">
      <c r="A11" t="s">
        <v>126</v>
      </c>
      <c r="B11">
        <v>14.7030068704751</v>
      </c>
      <c r="C11">
        <v>0.229185598936143</v>
      </c>
    </row>
    <row r="12" spans="1:3">
      <c r="A12" t="s">
        <v>124</v>
      </c>
      <c r="B12">
        <v>16.3788908533047</v>
      </c>
      <c r="C12">
        <v>0.415665704981911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zoomScale="156" zoomScaleNormal="156" workbookViewId="0">
      <selection activeCell="C22" sqref="C22"/>
    </sheetView>
  </sheetViews>
  <sheetFormatPr defaultColWidth="9" defaultRowHeight="14" outlineLevelCol="3"/>
  <cols>
    <col min="1" max="1" width="15.4416666666667" customWidth="1"/>
    <col min="2" max="3" width="15.5583333333333" customWidth="1"/>
  </cols>
  <sheetData>
    <row r="1" spans="1:4">
      <c r="A1" s="4" t="s">
        <v>380</v>
      </c>
      <c r="B1" s="4" t="s">
        <v>313</v>
      </c>
      <c r="C1" t="s">
        <v>72</v>
      </c>
      <c r="D1" t="s">
        <v>314</v>
      </c>
    </row>
    <row r="2" ht="15" spans="1:4">
      <c r="A2" s="5" t="s">
        <v>381</v>
      </c>
      <c r="B2" s="4" t="s">
        <v>382</v>
      </c>
      <c r="C2" s="4" t="s">
        <v>383</v>
      </c>
      <c r="D2">
        <v>16.5</v>
      </c>
    </row>
    <row r="3" ht="15" spans="1:4">
      <c r="A3" s="5" t="s">
        <v>381</v>
      </c>
      <c r="B3" s="4" t="s">
        <v>384</v>
      </c>
      <c r="C3">
        <v>1</v>
      </c>
      <c r="D3">
        <v>0.6</v>
      </c>
    </row>
    <row r="4" ht="15" spans="1:4">
      <c r="A4" s="5" t="s">
        <v>381</v>
      </c>
      <c r="B4" s="4" t="s">
        <v>18</v>
      </c>
      <c r="C4" t="s">
        <v>385</v>
      </c>
      <c r="D4">
        <v>0</v>
      </c>
    </row>
    <row r="5" ht="15" spans="1:4">
      <c r="A5" s="5" t="s">
        <v>381</v>
      </c>
      <c r="B5" t="s">
        <v>386</v>
      </c>
      <c r="C5" t="s">
        <v>387</v>
      </c>
      <c r="D5">
        <v>600</v>
      </c>
    </row>
    <row r="6" ht="15" spans="1:4">
      <c r="A6" s="5" t="s">
        <v>381</v>
      </c>
      <c r="B6" t="s">
        <v>388</v>
      </c>
      <c r="C6" t="s">
        <v>387</v>
      </c>
      <c r="D6">
        <v>730</v>
      </c>
    </row>
    <row r="7" ht="15" spans="1:4">
      <c r="A7" s="5" t="s">
        <v>381</v>
      </c>
      <c r="B7" t="s">
        <v>389</v>
      </c>
      <c r="C7" t="s">
        <v>387</v>
      </c>
      <c r="D7">
        <v>890</v>
      </c>
    </row>
    <row r="8" ht="15" spans="1:4">
      <c r="A8" s="5" t="s">
        <v>381</v>
      </c>
      <c r="B8" t="s">
        <v>390</v>
      </c>
      <c r="C8" t="s">
        <v>387</v>
      </c>
      <c r="D8">
        <v>1087</v>
      </c>
    </row>
    <row r="9" ht="15" spans="1:4">
      <c r="A9" s="5" t="s">
        <v>381</v>
      </c>
      <c r="B9" t="s">
        <v>391</v>
      </c>
      <c r="C9" t="s">
        <v>387</v>
      </c>
      <c r="D9">
        <v>1324</v>
      </c>
    </row>
    <row r="10" ht="15" spans="1:4">
      <c r="A10" s="5" t="s">
        <v>381</v>
      </c>
      <c r="B10" s="4" t="s">
        <v>392</v>
      </c>
      <c r="C10" t="s">
        <v>385</v>
      </c>
      <c r="D10">
        <v>-1.53</v>
      </c>
    </row>
    <row r="11" ht="15" spans="1:4">
      <c r="A11" s="5" t="s">
        <v>381</v>
      </c>
      <c r="B11" s="4" t="s">
        <v>393</v>
      </c>
      <c r="C11" t="s">
        <v>394</v>
      </c>
      <c r="D11">
        <v>39</v>
      </c>
    </row>
    <row r="12" spans="1:4">
      <c r="A12" t="s">
        <v>395</v>
      </c>
      <c r="B12" t="s">
        <v>382</v>
      </c>
      <c r="C12" t="s">
        <v>383</v>
      </c>
      <c r="D12">
        <v>38</v>
      </c>
    </row>
    <row r="13" spans="1:4">
      <c r="A13" t="s">
        <v>395</v>
      </c>
      <c r="B13" t="s">
        <v>384</v>
      </c>
      <c r="C13">
        <v>1</v>
      </c>
      <c r="D13">
        <v>0.95</v>
      </c>
    </row>
    <row r="14" spans="1:4">
      <c r="A14" t="s">
        <v>395</v>
      </c>
      <c r="B14" t="s">
        <v>18</v>
      </c>
      <c r="C14" t="s">
        <v>385</v>
      </c>
      <c r="D14">
        <v>2.75</v>
      </c>
    </row>
    <row r="15" spans="1:4">
      <c r="A15" t="s">
        <v>395</v>
      </c>
      <c r="B15" t="s">
        <v>386</v>
      </c>
      <c r="C15" t="s">
        <v>387</v>
      </c>
      <c r="D15">
        <v>3000</v>
      </c>
    </row>
    <row r="16" spans="1:4">
      <c r="A16" t="s">
        <v>395</v>
      </c>
      <c r="B16" t="s">
        <v>388</v>
      </c>
      <c r="C16" t="s">
        <v>387</v>
      </c>
      <c r="D16">
        <v>4000</v>
      </c>
    </row>
    <row r="17" spans="1:4">
      <c r="A17" t="s">
        <v>395</v>
      </c>
      <c r="B17" t="s">
        <v>389</v>
      </c>
      <c r="C17" t="s">
        <v>387</v>
      </c>
      <c r="D17">
        <v>4000</v>
      </c>
    </row>
    <row r="18" spans="1:4">
      <c r="A18" t="s">
        <v>395</v>
      </c>
      <c r="B18" t="s">
        <v>390</v>
      </c>
      <c r="C18" t="s">
        <v>387</v>
      </c>
      <c r="D18">
        <v>4500</v>
      </c>
    </row>
    <row r="19" spans="1:4">
      <c r="A19" t="s">
        <v>395</v>
      </c>
      <c r="B19" t="s">
        <v>391</v>
      </c>
      <c r="C19" t="s">
        <v>387</v>
      </c>
      <c r="D19">
        <v>4500</v>
      </c>
    </row>
    <row r="20" spans="1:4">
      <c r="A20" t="s">
        <v>395</v>
      </c>
      <c r="B20" t="s">
        <v>392</v>
      </c>
      <c r="C20" t="s">
        <v>385</v>
      </c>
      <c r="D20">
        <v>0.275</v>
      </c>
    </row>
    <row r="21" spans="1:4">
      <c r="A21" t="s">
        <v>395</v>
      </c>
      <c r="B21" t="s">
        <v>393</v>
      </c>
      <c r="C21" t="s">
        <v>396</v>
      </c>
      <c r="D21">
        <v>26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M11" sqref="M11"/>
    </sheetView>
  </sheetViews>
  <sheetFormatPr defaultColWidth="9" defaultRowHeight="14" outlineLevelCol="5"/>
  <sheetData>
    <row r="1" spans="1:6">
      <c r="A1" s="1" t="s">
        <v>257</v>
      </c>
      <c r="B1" s="1">
        <v>2020</v>
      </c>
      <c r="C1" s="1">
        <v>2030</v>
      </c>
      <c r="D1" s="1">
        <v>2040</v>
      </c>
      <c r="E1" s="1">
        <v>2050</v>
      </c>
      <c r="F1" s="1">
        <v>2060</v>
      </c>
    </row>
    <row r="2" spans="1:6">
      <c r="A2" s="2" t="s">
        <v>144</v>
      </c>
      <c r="B2" s="2">
        <v>0.7075</v>
      </c>
      <c r="C2" s="2">
        <v>0.38268</v>
      </c>
      <c r="D2" s="2">
        <v>0.0508</v>
      </c>
      <c r="E2" s="2">
        <v>0.03632</v>
      </c>
      <c r="F2" s="2">
        <v>0</v>
      </c>
    </row>
    <row r="3" spans="1:6">
      <c r="A3" s="2" t="s">
        <v>146</v>
      </c>
      <c r="B3" s="2">
        <v>0.5688</v>
      </c>
      <c r="C3" s="2">
        <v>0.19759</v>
      </c>
      <c r="D3" s="2">
        <v>0.03195</v>
      </c>
      <c r="E3" s="2">
        <v>0.02262</v>
      </c>
      <c r="F3" s="2">
        <v>0</v>
      </c>
    </row>
    <row r="4" spans="1:6">
      <c r="A4" s="2" t="s">
        <v>148</v>
      </c>
      <c r="B4" s="2">
        <v>0.4743</v>
      </c>
      <c r="C4" s="2">
        <v>0.25979</v>
      </c>
      <c r="D4" s="2">
        <v>0.08072</v>
      </c>
      <c r="E4" s="2">
        <v>0.02194</v>
      </c>
      <c r="F4" s="2">
        <v>0</v>
      </c>
    </row>
    <row r="5" spans="1:6">
      <c r="A5" s="2" t="s">
        <v>150</v>
      </c>
      <c r="B5" s="3">
        <v>0.4711</v>
      </c>
      <c r="C5" s="2">
        <v>0.16508</v>
      </c>
      <c r="D5" s="2">
        <v>0.08292</v>
      </c>
      <c r="E5" s="2">
        <v>0.01677</v>
      </c>
      <c r="F5" s="2">
        <v>0</v>
      </c>
    </row>
    <row r="6" spans="1:6">
      <c r="A6" s="2" t="s">
        <v>152</v>
      </c>
      <c r="B6" s="3">
        <v>0.4955</v>
      </c>
      <c r="C6" s="2">
        <v>0.08708</v>
      </c>
      <c r="D6" s="2">
        <v>0.00934</v>
      </c>
      <c r="E6" s="2">
        <v>0.00248</v>
      </c>
      <c r="F6" s="2">
        <v>0</v>
      </c>
    </row>
    <row r="7" spans="1:6">
      <c r="A7" s="2" t="s">
        <v>154</v>
      </c>
      <c r="B7" s="3">
        <v>0.4715</v>
      </c>
      <c r="C7" s="2">
        <v>0.14226</v>
      </c>
      <c r="D7" s="2">
        <v>0.04824</v>
      </c>
      <c r="E7" s="2">
        <v>0.01003</v>
      </c>
      <c r="F7" s="2">
        <v>0</v>
      </c>
    </row>
    <row r="8" spans="1:6">
      <c r="A8" s="2" t="s">
        <v>156</v>
      </c>
      <c r="B8" s="3">
        <v>0.5154</v>
      </c>
      <c r="C8" s="2">
        <v>0.02972</v>
      </c>
      <c r="D8" s="2">
        <v>0.00972</v>
      </c>
      <c r="E8" s="2">
        <v>0.0008</v>
      </c>
      <c r="F8" s="2">
        <v>0</v>
      </c>
    </row>
    <row r="9" spans="1:6">
      <c r="A9" s="2" t="s">
        <v>158</v>
      </c>
      <c r="B9" s="3">
        <v>0.5182</v>
      </c>
      <c r="C9" s="2">
        <v>0.31109</v>
      </c>
      <c r="D9" s="2">
        <v>0.16029</v>
      </c>
      <c r="E9" s="2">
        <v>0.01132</v>
      </c>
      <c r="F9" s="2">
        <v>0</v>
      </c>
    </row>
    <row r="10" spans="1:6">
      <c r="A10" s="2" t="s">
        <v>160</v>
      </c>
      <c r="B10" s="2">
        <v>0.4524</v>
      </c>
      <c r="C10" s="2">
        <v>0.20878</v>
      </c>
      <c r="D10" s="2">
        <v>0.046</v>
      </c>
      <c r="E10" s="2">
        <v>0.0317</v>
      </c>
      <c r="F10" s="2">
        <v>0</v>
      </c>
    </row>
    <row r="11" spans="1:6">
      <c r="A11" s="2" t="s">
        <v>162</v>
      </c>
      <c r="B11" s="2">
        <v>0.7901</v>
      </c>
      <c r="C11" s="2">
        <v>0.35057</v>
      </c>
      <c r="D11" s="2">
        <v>0.07998</v>
      </c>
      <c r="E11" s="2">
        <v>0.01014</v>
      </c>
      <c r="F11" s="2">
        <v>0</v>
      </c>
    </row>
    <row r="12" spans="1:6">
      <c r="A12" s="2" t="s">
        <v>164</v>
      </c>
      <c r="B12" s="2">
        <v>0.6342</v>
      </c>
      <c r="C12" s="2">
        <v>0.19342</v>
      </c>
      <c r="D12" s="2">
        <v>0.05686</v>
      </c>
      <c r="E12" s="2">
        <v>0.00388</v>
      </c>
      <c r="F12" s="2">
        <v>0</v>
      </c>
    </row>
    <row r="13" spans="1:6">
      <c r="A13" s="2" t="s">
        <v>166</v>
      </c>
      <c r="B13" s="2">
        <v>0.6369</v>
      </c>
      <c r="C13" s="2">
        <v>0.47083</v>
      </c>
      <c r="D13" s="2">
        <v>0.06874</v>
      </c>
      <c r="E13" s="2">
        <v>0.02903</v>
      </c>
      <c r="F13" s="2">
        <v>0</v>
      </c>
    </row>
    <row r="14" spans="1:6">
      <c r="A14" s="2" t="s">
        <v>168</v>
      </c>
      <c r="B14" s="2">
        <v>0.3672</v>
      </c>
      <c r="C14" s="2">
        <v>0.15827</v>
      </c>
      <c r="D14" s="2">
        <v>0.03428</v>
      </c>
      <c r="E14" s="2">
        <v>0.02109</v>
      </c>
      <c r="F14" s="2">
        <v>0</v>
      </c>
    </row>
    <row r="15" spans="1:6">
      <c r="A15" s="2" t="s">
        <v>170</v>
      </c>
      <c r="B15" s="2">
        <v>0.5138</v>
      </c>
      <c r="C15" s="2">
        <v>0.10658</v>
      </c>
      <c r="D15" s="2">
        <v>0.0194</v>
      </c>
      <c r="E15" s="2">
        <v>0.00568</v>
      </c>
      <c r="F15" s="2">
        <v>0</v>
      </c>
    </row>
    <row r="16" spans="1:6">
      <c r="A16" s="2" t="s">
        <v>172</v>
      </c>
      <c r="B16" s="2">
        <v>0.7025</v>
      </c>
      <c r="C16" s="2">
        <v>0.22519</v>
      </c>
      <c r="D16" s="2">
        <v>0.0404</v>
      </c>
      <c r="E16" s="2">
        <v>0.01004</v>
      </c>
      <c r="F16" s="2">
        <v>0</v>
      </c>
    </row>
    <row r="17" spans="1:6">
      <c r="A17" s="2" t="s">
        <v>174</v>
      </c>
      <c r="B17" s="2">
        <v>0.6451</v>
      </c>
      <c r="C17" s="2">
        <v>0.39604</v>
      </c>
      <c r="D17" s="2">
        <v>0.06465</v>
      </c>
      <c r="E17" s="2">
        <v>0.01362</v>
      </c>
      <c r="F17" s="2">
        <v>0</v>
      </c>
    </row>
    <row r="18" spans="1:6">
      <c r="A18" s="2" t="s">
        <v>176</v>
      </c>
      <c r="B18" s="2">
        <v>0.5835</v>
      </c>
      <c r="C18" s="2">
        <v>0.25286</v>
      </c>
      <c r="D18" s="2">
        <v>0.05587</v>
      </c>
      <c r="E18" s="2">
        <v>0.00429</v>
      </c>
      <c r="F18" s="2">
        <v>0</v>
      </c>
    </row>
    <row r="19" spans="1:6">
      <c r="A19" s="2" t="s">
        <v>178</v>
      </c>
      <c r="B19" s="2">
        <v>0.5629</v>
      </c>
      <c r="C19" s="2">
        <v>0.04465</v>
      </c>
      <c r="D19" s="2">
        <v>0.00726</v>
      </c>
      <c r="E19" s="2">
        <v>0.00193</v>
      </c>
      <c r="F19" s="2">
        <v>0</v>
      </c>
    </row>
    <row r="20" spans="1:6">
      <c r="A20" s="2" t="s">
        <v>180</v>
      </c>
      <c r="B20" s="2">
        <v>0.5876</v>
      </c>
      <c r="C20" s="2">
        <v>0.236</v>
      </c>
      <c r="D20" s="2">
        <v>0.05845</v>
      </c>
      <c r="E20" s="2">
        <v>0.00904</v>
      </c>
      <c r="F20" s="2">
        <v>0</v>
      </c>
    </row>
    <row r="21" spans="1:6">
      <c r="A21" s="2" t="s">
        <v>182</v>
      </c>
      <c r="B21" s="2">
        <v>0.6546</v>
      </c>
      <c r="C21" s="2">
        <v>0.47803</v>
      </c>
      <c r="D21" s="2">
        <v>0.04645</v>
      </c>
      <c r="E21" s="2">
        <v>0.01059</v>
      </c>
      <c r="F21" s="2">
        <v>0</v>
      </c>
    </row>
    <row r="22" spans="1:6">
      <c r="A22" s="2" t="s">
        <v>184</v>
      </c>
      <c r="B22" s="2">
        <v>0.1326</v>
      </c>
      <c r="C22" s="2">
        <v>0.06114</v>
      </c>
      <c r="D22" s="2">
        <v>0.01228</v>
      </c>
      <c r="E22" s="2">
        <v>0.00267</v>
      </c>
      <c r="F22" s="2">
        <v>0</v>
      </c>
    </row>
    <row r="23" spans="1:6">
      <c r="A23" s="2" t="s">
        <v>186</v>
      </c>
      <c r="B23" s="2">
        <v>0.7222</v>
      </c>
      <c r="C23" s="2">
        <v>0.46417</v>
      </c>
      <c r="D23" s="2">
        <v>0.07477</v>
      </c>
      <c r="E23" s="2">
        <v>0.04412</v>
      </c>
      <c r="F23" s="2">
        <v>0</v>
      </c>
    </row>
    <row r="24" spans="1:6">
      <c r="A24" s="2" t="s">
        <v>188</v>
      </c>
      <c r="B24" s="2">
        <v>0.6838</v>
      </c>
      <c r="C24" s="2">
        <v>0.34472</v>
      </c>
      <c r="D24" s="2">
        <v>0.04993</v>
      </c>
      <c r="E24" s="2">
        <v>0.0197</v>
      </c>
      <c r="F24" s="2">
        <v>0</v>
      </c>
    </row>
    <row r="25" spans="1:6">
      <c r="A25" s="2" t="s">
        <v>190</v>
      </c>
      <c r="B25" s="2">
        <v>0.5834</v>
      </c>
      <c r="C25" s="2">
        <v>0.18918</v>
      </c>
      <c r="D25" s="2">
        <v>0.05439</v>
      </c>
      <c r="E25" s="2">
        <v>0.02429</v>
      </c>
      <c r="F25" s="2">
        <v>0</v>
      </c>
    </row>
    <row r="26" spans="1:6">
      <c r="A26" s="2" t="s">
        <v>192</v>
      </c>
      <c r="B26" s="2">
        <v>0.6336</v>
      </c>
      <c r="C26" s="2">
        <v>0.49617</v>
      </c>
      <c r="D26" s="2">
        <v>0.04156</v>
      </c>
      <c r="E26" s="2">
        <v>0.0065</v>
      </c>
      <c r="F26" s="2">
        <v>0</v>
      </c>
    </row>
    <row r="27" spans="1:6">
      <c r="A27" s="2" t="s">
        <v>194</v>
      </c>
      <c r="B27" s="2">
        <v>0.1255</v>
      </c>
      <c r="C27" s="2">
        <v>0.06452</v>
      </c>
      <c r="D27" s="2">
        <v>0.0085</v>
      </c>
      <c r="E27" s="2">
        <v>0.00238</v>
      </c>
      <c r="F27" s="2">
        <v>0</v>
      </c>
    </row>
    <row r="28" spans="1:6">
      <c r="A28" s="2" t="s">
        <v>196</v>
      </c>
      <c r="B28" s="2">
        <v>0.7355</v>
      </c>
      <c r="C28" s="2">
        <v>0.34271</v>
      </c>
      <c r="D28" s="2">
        <v>0.08482</v>
      </c>
      <c r="E28" s="2">
        <v>0.01668</v>
      </c>
      <c r="F28" s="2">
        <v>0</v>
      </c>
    </row>
    <row r="29" spans="1:6">
      <c r="A29" s="2" t="s">
        <v>198</v>
      </c>
      <c r="B29" s="2">
        <v>0.6577</v>
      </c>
      <c r="C29" s="2">
        <v>0.464</v>
      </c>
      <c r="D29" s="2">
        <v>0.06015</v>
      </c>
      <c r="E29" s="2">
        <v>0.02593</v>
      </c>
      <c r="F29" s="2">
        <v>0</v>
      </c>
    </row>
    <row r="30" spans="1:6">
      <c r="A30" s="2" t="s">
        <v>200</v>
      </c>
      <c r="B30" s="2">
        <v>0.1235</v>
      </c>
      <c r="C30" s="2">
        <v>0.10958</v>
      </c>
      <c r="D30" s="2">
        <v>0.02208</v>
      </c>
      <c r="E30" s="2">
        <v>0.00129</v>
      </c>
      <c r="F30" s="2">
        <v>0</v>
      </c>
    </row>
    <row r="31" spans="1:6">
      <c r="A31" s="2" t="s">
        <v>202</v>
      </c>
      <c r="B31" s="2">
        <v>0.5422</v>
      </c>
      <c r="C31" s="2">
        <v>0.1874</v>
      </c>
      <c r="D31" s="2">
        <v>0.05574</v>
      </c>
      <c r="E31" s="2">
        <v>0.00695</v>
      </c>
      <c r="F31" s="2">
        <v>0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N28" sqref="N28"/>
    </sheetView>
  </sheetViews>
  <sheetFormatPr defaultColWidth="9" defaultRowHeight="14" outlineLevelCol="5"/>
  <sheetData>
    <row r="1" spans="1:6">
      <c r="A1" s="1" t="s">
        <v>257</v>
      </c>
      <c r="B1" s="1">
        <v>2020</v>
      </c>
      <c r="C1" s="1">
        <v>2030</v>
      </c>
      <c r="D1" s="1">
        <v>2040</v>
      </c>
      <c r="E1" s="1">
        <v>2050</v>
      </c>
      <c r="F1" s="1">
        <v>2060</v>
      </c>
    </row>
    <row r="2" spans="1:6">
      <c r="A2" s="2" t="s">
        <v>144</v>
      </c>
      <c r="B2" s="2">
        <v>0.55856273442697</v>
      </c>
      <c r="C2" s="2">
        <v>0.580801829080709</v>
      </c>
      <c r="D2" s="2">
        <v>0.540340338565104</v>
      </c>
      <c r="E2" s="2">
        <v>0.499902665249388</v>
      </c>
      <c r="F2" s="2">
        <v>0.442228676064204</v>
      </c>
    </row>
    <row r="3" spans="1:6">
      <c r="A3" s="2" t="s">
        <v>146</v>
      </c>
      <c r="B3" s="2">
        <v>0.527334932654396</v>
      </c>
      <c r="C3" s="2">
        <v>0.545435482254129</v>
      </c>
      <c r="D3" s="2">
        <v>0.533352465298226</v>
      </c>
      <c r="E3" s="2">
        <v>0.481754458743026</v>
      </c>
      <c r="F3" s="2">
        <v>0.416454318669525</v>
      </c>
    </row>
    <row r="4" spans="1:6">
      <c r="A4" s="2" t="s">
        <v>148</v>
      </c>
      <c r="B4" s="2">
        <v>0.527037342942125</v>
      </c>
      <c r="C4" s="2">
        <v>0.575761865247794</v>
      </c>
      <c r="D4" s="2">
        <v>0.569158295560736</v>
      </c>
      <c r="E4" s="2">
        <v>0.452459666211003</v>
      </c>
      <c r="F4" s="2">
        <v>0.40829696020616</v>
      </c>
    </row>
    <row r="5" spans="1:6">
      <c r="A5" s="2" t="s">
        <v>150</v>
      </c>
      <c r="B5" s="2">
        <v>0.567063137097819</v>
      </c>
      <c r="C5" s="2">
        <v>0.551855225671394</v>
      </c>
      <c r="D5" s="2">
        <v>0.570653139409427</v>
      </c>
      <c r="E5" s="2">
        <v>0.493219135079902</v>
      </c>
      <c r="F5" s="2">
        <v>0.459887616671178</v>
      </c>
    </row>
    <row r="6" spans="1:6">
      <c r="A6" s="2" t="s">
        <v>152</v>
      </c>
      <c r="B6" s="2">
        <v>0.418525862402791</v>
      </c>
      <c r="C6" s="2">
        <v>0.430413575260429</v>
      </c>
      <c r="D6" s="2">
        <v>0.322455807411735</v>
      </c>
      <c r="E6" s="2">
        <v>0.297912800234826</v>
      </c>
      <c r="F6" s="2">
        <v>0.224289080741202</v>
      </c>
    </row>
    <row r="7" spans="1:6">
      <c r="A7" s="2" t="s">
        <v>154</v>
      </c>
      <c r="B7" s="2">
        <v>0.504211095994481</v>
      </c>
      <c r="C7" s="2">
        <v>0.572557059591614</v>
      </c>
      <c r="D7" s="2">
        <v>0.569114003579271</v>
      </c>
      <c r="E7" s="2">
        <v>0.495211437027562</v>
      </c>
      <c r="F7" s="2">
        <v>0.46948077638979</v>
      </c>
    </row>
    <row r="8" spans="1:6">
      <c r="A8" s="2" t="s">
        <v>156</v>
      </c>
      <c r="B8" s="2">
        <v>0.458382539046719</v>
      </c>
      <c r="C8" s="2">
        <v>0.46944173647558</v>
      </c>
      <c r="D8" s="2">
        <v>0.460230648649613</v>
      </c>
      <c r="E8" s="2">
        <v>0.419996791571722</v>
      </c>
      <c r="F8" s="2">
        <v>0.380464252131025</v>
      </c>
    </row>
    <row r="9" spans="1:6">
      <c r="A9" s="2" t="s">
        <v>158</v>
      </c>
      <c r="B9" s="2">
        <v>0.419223727602993</v>
      </c>
      <c r="C9" s="2">
        <v>0.477657898431055</v>
      </c>
      <c r="D9" s="2">
        <v>0.516366114008591</v>
      </c>
      <c r="E9" s="2">
        <v>0.45341440352315</v>
      </c>
      <c r="F9" s="2">
        <v>0.406187213292023</v>
      </c>
    </row>
    <row r="10" spans="1:6">
      <c r="A10" s="2" t="s">
        <v>160</v>
      </c>
      <c r="B10" s="2">
        <v>0.468801533025531</v>
      </c>
      <c r="C10" s="2">
        <v>0.519928184305127</v>
      </c>
      <c r="D10" s="2">
        <v>0.401461605204464</v>
      </c>
      <c r="E10" s="2">
        <v>0.38565690787842</v>
      </c>
      <c r="F10" s="2">
        <v>0.32621254986035</v>
      </c>
    </row>
    <row r="11" spans="1:6">
      <c r="A11" s="2" t="s">
        <v>162</v>
      </c>
      <c r="B11" s="2">
        <v>0.462524901454439</v>
      </c>
      <c r="C11" s="2">
        <v>0.498372506208794</v>
      </c>
      <c r="D11" s="2">
        <v>0.495694476203667</v>
      </c>
      <c r="E11" s="2">
        <v>0.455231623127539</v>
      </c>
      <c r="F11" s="2">
        <v>0.397529289133311</v>
      </c>
    </row>
    <row r="12" spans="1:6">
      <c r="A12" s="2" t="s">
        <v>164</v>
      </c>
      <c r="B12" s="2">
        <v>0.422843295020396</v>
      </c>
      <c r="C12" s="2">
        <v>0.398781038774181</v>
      </c>
      <c r="D12" s="2">
        <v>0.401466180940055</v>
      </c>
      <c r="E12" s="2">
        <v>0.380472768917111</v>
      </c>
      <c r="F12" s="2">
        <v>0.296996771299597</v>
      </c>
    </row>
    <row r="13" spans="1:6">
      <c r="A13" s="2" t="s">
        <v>166</v>
      </c>
      <c r="B13" s="2">
        <v>0.520753240220136</v>
      </c>
      <c r="C13" s="2">
        <v>0.581849355215053</v>
      </c>
      <c r="D13" s="2">
        <v>0.557182697939725</v>
      </c>
      <c r="E13" s="2">
        <v>0.492378767357297</v>
      </c>
      <c r="F13" s="2">
        <v>0.42288682421176</v>
      </c>
    </row>
    <row r="14" spans="1:6">
      <c r="A14" s="2" t="s">
        <v>168</v>
      </c>
      <c r="B14" s="2">
        <v>0.521481046806676</v>
      </c>
      <c r="C14" s="2">
        <v>0.574468486229356</v>
      </c>
      <c r="D14" s="2">
        <v>0.564384305156496</v>
      </c>
      <c r="E14" s="2">
        <v>0.504266919487314</v>
      </c>
      <c r="F14" s="2">
        <v>0.437594028838468</v>
      </c>
    </row>
    <row r="15" spans="1:6">
      <c r="A15" s="2" t="s">
        <v>170</v>
      </c>
      <c r="B15" s="2">
        <v>0.542396091436627</v>
      </c>
      <c r="C15" s="2">
        <v>0.584594957606647</v>
      </c>
      <c r="D15" s="2">
        <v>0.574631683756713</v>
      </c>
      <c r="E15" s="2">
        <v>0.484111736303236</v>
      </c>
      <c r="F15" s="2">
        <v>0.430263900913499</v>
      </c>
    </row>
    <row r="16" spans="1:6">
      <c r="A16" s="2" t="s">
        <v>172</v>
      </c>
      <c r="B16" s="2">
        <v>0.337374621498674</v>
      </c>
      <c r="C16" s="2">
        <v>0.366587267346005</v>
      </c>
      <c r="D16" s="2">
        <v>0.33612592613799</v>
      </c>
      <c r="E16" s="2">
        <v>0.305823153094392</v>
      </c>
      <c r="F16" s="2">
        <v>0.246419956503708</v>
      </c>
    </row>
    <row r="17" spans="1:6">
      <c r="A17" s="2" t="s">
        <v>174</v>
      </c>
      <c r="B17" s="2">
        <v>0.533457879665331</v>
      </c>
      <c r="C17" s="2">
        <v>0.573427187005068</v>
      </c>
      <c r="D17" s="2">
        <v>0.557527669518021</v>
      </c>
      <c r="E17" s="2">
        <v>0.502177931971439</v>
      </c>
      <c r="F17" s="2">
        <v>0.440943637045111</v>
      </c>
    </row>
    <row r="18" spans="1:6">
      <c r="A18" s="2" t="s">
        <v>176</v>
      </c>
      <c r="B18" s="2">
        <v>0.545456391817438</v>
      </c>
      <c r="C18" s="2">
        <v>0.581597332551469</v>
      </c>
      <c r="D18" s="2">
        <v>0.544716050753646</v>
      </c>
      <c r="E18" s="2">
        <v>0.44848689991118</v>
      </c>
      <c r="F18" s="2">
        <v>0.415001861537721</v>
      </c>
    </row>
    <row r="19" spans="1:6">
      <c r="A19" s="2" t="s">
        <v>178</v>
      </c>
      <c r="B19" s="2">
        <v>0.403296375116464</v>
      </c>
      <c r="C19" s="2">
        <v>0.388271015103249</v>
      </c>
      <c r="D19" s="2">
        <v>0.355351241344131</v>
      </c>
      <c r="E19" s="2">
        <v>0.340634967678212</v>
      </c>
      <c r="F19" s="2">
        <v>0.262695790300914</v>
      </c>
    </row>
    <row r="20" spans="1:6">
      <c r="A20" s="2" t="s">
        <v>180</v>
      </c>
      <c r="B20" s="2">
        <v>0.433728947122807</v>
      </c>
      <c r="C20" s="2">
        <v>0.505280540687028</v>
      </c>
      <c r="D20" s="2">
        <v>0.433907708170097</v>
      </c>
      <c r="E20" s="2">
        <v>0.38878235659975</v>
      </c>
      <c r="F20" s="2">
        <v>0.340733875557599</v>
      </c>
    </row>
    <row r="21" spans="1:6">
      <c r="A21" s="2" t="s">
        <v>182</v>
      </c>
      <c r="B21" s="2">
        <v>0.415152762033617</v>
      </c>
      <c r="C21" s="2">
        <v>0.45675279522373</v>
      </c>
      <c r="D21" s="2">
        <v>0.359001073625613</v>
      </c>
      <c r="E21" s="2">
        <v>0.329273300325544</v>
      </c>
      <c r="F21" s="2">
        <v>0.249781649577247</v>
      </c>
    </row>
    <row r="22" spans="1:6">
      <c r="A22" s="2" t="s">
        <v>184</v>
      </c>
      <c r="B22" s="2">
        <v>0.320218937022996</v>
      </c>
      <c r="C22" s="2">
        <v>0.384864761585035</v>
      </c>
      <c r="D22" s="2">
        <v>0.38689674111264</v>
      </c>
      <c r="E22" s="2">
        <v>0.321155911569249</v>
      </c>
      <c r="F22" s="2">
        <v>0.299511291489098</v>
      </c>
    </row>
    <row r="23" spans="1:6">
      <c r="A23" s="2" t="s">
        <v>186</v>
      </c>
      <c r="B23" s="2">
        <v>0.438121112470517</v>
      </c>
      <c r="C23" s="2">
        <v>0.490237699454917</v>
      </c>
      <c r="D23" s="2">
        <v>0.40606102511637</v>
      </c>
      <c r="E23" s="2">
        <v>0.404536612518067</v>
      </c>
      <c r="F23" s="2">
        <v>0.370823329569756</v>
      </c>
    </row>
    <row r="24" spans="1:6">
      <c r="A24" s="2" t="s">
        <v>188</v>
      </c>
      <c r="B24" s="2">
        <v>0.527541318942368</v>
      </c>
      <c r="C24" s="2">
        <v>0.559507724625613</v>
      </c>
      <c r="D24" s="2">
        <v>0.528977574596426</v>
      </c>
      <c r="E24" s="2">
        <v>0.476408906987878</v>
      </c>
      <c r="F24" s="2">
        <v>0.432546999397879</v>
      </c>
    </row>
    <row r="25" spans="1:6">
      <c r="A25" s="2" t="s">
        <v>190</v>
      </c>
      <c r="B25" s="2">
        <v>0.545294531022253</v>
      </c>
      <c r="C25" s="2">
        <v>0.605946761620337</v>
      </c>
      <c r="D25" s="2">
        <v>0.597404488657088</v>
      </c>
      <c r="E25" s="2">
        <v>0.539046790879266</v>
      </c>
      <c r="F25" s="2">
        <v>0.482382444043616</v>
      </c>
    </row>
    <row r="26" spans="1:6">
      <c r="A26" s="2" t="s">
        <v>192</v>
      </c>
      <c r="B26" s="2">
        <v>0.374326838674621</v>
      </c>
      <c r="C26" s="2">
        <v>0.462121582906168</v>
      </c>
      <c r="D26" s="2">
        <v>0.370472440071621</v>
      </c>
      <c r="E26" s="2">
        <v>0.375803226503975</v>
      </c>
      <c r="F26" s="2">
        <v>0.330643417094362</v>
      </c>
    </row>
    <row r="27" spans="1:6">
      <c r="A27" s="2" t="s">
        <v>194</v>
      </c>
      <c r="B27" s="2">
        <v>0.396109761401864</v>
      </c>
      <c r="C27" s="2">
        <v>0.466534503626205</v>
      </c>
      <c r="D27" s="2">
        <v>0.4319602355526</v>
      </c>
      <c r="E27" s="2">
        <v>0.380536629515635</v>
      </c>
      <c r="F27" s="2">
        <v>0.365327361527919</v>
      </c>
    </row>
    <row r="28" spans="1:6">
      <c r="A28" s="2" t="s">
        <v>196</v>
      </c>
      <c r="B28" s="2">
        <v>0.491899858109046</v>
      </c>
      <c r="C28" s="2">
        <v>0.5250215141487</v>
      </c>
      <c r="D28" s="2">
        <v>0.512856724211537</v>
      </c>
      <c r="E28" s="2">
        <v>0.444501721660062</v>
      </c>
      <c r="F28" s="2">
        <v>0.421253930654619</v>
      </c>
    </row>
    <row r="29" spans="1:6">
      <c r="A29" s="2" t="s">
        <v>198</v>
      </c>
      <c r="B29" s="2">
        <v>0.356841439275329</v>
      </c>
      <c r="C29" s="2">
        <v>0.413096716175191</v>
      </c>
      <c r="D29" s="2">
        <v>0.432955428658567</v>
      </c>
      <c r="E29" s="2">
        <v>0.360716171416025</v>
      </c>
      <c r="F29" s="2">
        <v>0.364971310806426</v>
      </c>
    </row>
    <row r="30" spans="1:6">
      <c r="A30" s="2" t="s">
        <v>200</v>
      </c>
      <c r="B30" s="2">
        <v>0.404417431199057</v>
      </c>
      <c r="C30" s="2">
        <v>0.463463030404166</v>
      </c>
      <c r="D30" s="2">
        <v>0.386882261943939</v>
      </c>
      <c r="E30" s="2">
        <v>0.409751190305955</v>
      </c>
      <c r="F30" s="2">
        <v>0.380812512964224</v>
      </c>
    </row>
    <row r="31" spans="1:6">
      <c r="A31" s="2" t="s">
        <v>202</v>
      </c>
      <c r="B31" s="2">
        <v>0.53733943270775</v>
      </c>
      <c r="C31" s="2">
        <v>0.588053852639014</v>
      </c>
      <c r="D31" s="2">
        <v>0.580982510332193</v>
      </c>
      <c r="E31" s="2">
        <v>0.515878452314055</v>
      </c>
      <c r="F31" s="2">
        <v>0.481567375849469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00 read me</vt:lpstr>
      <vt:lpstr>tech-cost</vt:lpstr>
      <vt:lpstr>FS-cost</vt:lpstr>
      <vt:lpstr>next-cost-L</vt:lpstr>
      <vt:lpstr>next-cost-M</vt:lpstr>
      <vt:lpstr>next-cost-H</vt:lpstr>
      <vt:lpstr>lifetime</vt:lpstr>
      <vt:lpstr>OH_other</vt:lpstr>
      <vt:lpstr>OH_WSH</vt:lpstr>
      <vt:lpstr>oh_process_max</vt:lpstr>
      <vt:lpstr>HP</vt:lpstr>
      <vt:lpstr>CF</vt:lpstr>
      <vt:lpstr>CF_METH</vt:lpstr>
      <vt:lpstr>EXCAP</vt:lpstr>
      <vt:lpstr>POT</vt:lpstr>
      <vt:lpstr>H2_P&amp;C</vt:lpstr>
      <vt:lpstr>province_structure</vt:lpstr>
      <vt:lpstr>province_share</vt:lpstr>
      <vt:lpstr>CCS-cost_v1</vt:lpstr>
      <vt:lpstr>CCS_cost</vt:lpstr>
      <vt:lpstr>Demand</vt:lpstr>
      <vt:lpstr>Carbon-target</vt:lpstr>
      <vt:lpstr>Hydro-POT</vt:lpstr>
      <vt:lpstr>Bio-POT</vt:lpstr>
      <vt:lpstr>Industry_CO2_POT</vt:lpstr>
      <vt:lpstr>Metals_g KW h</vt:lpstr>
      <vt:lpstr>CDR-cost</vt:lpstr>
      <vt:lpstr>Trans_cost</vt:lpstr>
      <vt:lpstr>Demand_v2</vt:lpstr>
      <vt:lpstr>HVC_para</vt:lpstr>
      <vt:lpstr>HVC_CCS_ratio</vt:lpstr>
      <vt:lpstr>W&amp;S_POT</vt:lpstr>
      <vt:lpstr>energy_intensity</vt:lpstr>
      <vt:lpstr>fuel_para</vt:lpstr>
      <vt:lpstr>electricity_CF</vt:lpstr>
      <vt:lpstr>electricity_cost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甄紫涵(2025310215)</cp:lastModifiedBy>
  <dcterms:created xsi:type="dcterms:W3CDTF">2023-10-13T07:23:00Z</dcterms:created>
  <dcterms:modified xsi:type="dcterms:W3CDTF">2026-01-14T04:40:09Z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D046E5B209F34AD2885F97274EE46D80_12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